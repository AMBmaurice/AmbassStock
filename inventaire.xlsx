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ventaire " sheetId="1" r:id="rId5"/>
  </sheets>
  <definedNames/>
  <calcPr/>
</workbook>
</file>

<file path=xl/sharedStrings.xml><?xml version="1.0" encoding="utf-8"?>
<sst xmlns="http://schemas.openxmlformats.org/spreadsheetml/2006/main" count="763" uniqueCount="516">
  <si>
    <t>STOCK</t>
  </si>
  <si>
    <t xml:space="preserve"> Référence</t>
  </si>
  <si>
    <t xml:space="preserve">Objet </t>
  </si>
  <si>
    <t>Quantité</t>
  </si>
  <si>
    <t>Catégorie</t>
  </si>
  <si>
    <t>Emplacement</t>
  </si>
  <si>
    <t>Stock actuel</t>
  </si>
  <si>
    <t>ECR-BIC-ROU-01</t>
  </si>
  <si>
    <t xml:space="preserve">Stylo BIC rouge </t>
  </si>
  <si>
    <t>Armoire D</t>
  </si>
  <si>
    <t>ECR-BIC-VER-02</t>
  </si>
  <si>
    <t>Stylo BIC vert</t>
  </si>
  <si>
    <t>ECR-BIC-MRG-03</t>
  </si>
  <si>
    <t>Marker BIC rouge</t>
  </si>
  <si>
    <t>ECR-BIC-MVT-04</t>
  </si>
  <si>
    <t>Marker BIC vert</t>
  </si>
  <si>
    <t>ECR-STD-CRN-05</t>
  </si>
  <si>
    <t>Crayon de papier STAEDTLER</t>
  </si>
  <si>
    <t>ECR-PRG-BLE-06</t>
  </si>
  <si>
    <t>Stylo bleu PERGAMY</t>
  </si>
  <si>
    <t>ECR-STB-P88-07</t>
  </si>
  <si>
    <t>STABILO point 88</t>
  </si>
  <si>
    <t>ECR-PRG-CRN-08</t>
  </si>
  <si>
    <t>Crayon de papier PERGAMY</t>
  </si>
  <si>
    <t>ECR-STB-DRN-09</t>
  </si>
  <si>
    <t xml:space="preserve">STABILO DRIVER Noir </t>
  </si>
  <si>
    <t>ECR-PLT-LKN-10</t>
  </si>
  <si>
    <t>Stylo PILOT Noir</t>
  </si>
  <si>
    <t>ECR-PLT-LKN-11</t>
  </si>
  <si>
    <t>Stylo PILOT Rouge</t>
  </si>
  <si>
    <t>ECR-PTL-MRG-12</t>
  </si>
  <si>
    <t>Marker rouge PENTEL PEN</t>
  </si>
  <si>
    <t>ECR-GEN-MVT-13</t>
  </si>
  <si>
    <t>Glassboard marker vert</t>
  </si>
  <si>
    <t>ECR-GEN-MJN-14</t>
  </si>
  <si>
    <t>Paintmarker jaune</t>
  </si>
  <si>
    <t>ECR-PRG-FTN-15</t>
  </si>
  <si>
    <t>Stylo Feutre PERGAMYL Noir</t>
  </si>
  <si>
    <t>ECR-UNI-FTN-16</t>
  </si>
  <si>
    <t>Stylo feutre UNI noir</t>
  </si>
  <si>
    <t>ECR-UNI-FTB-17</t>
  </si>
  <si>
    <t>Stylo feutre UNI bleu</t>
  </si>
  <si>
    <t>ECR-STB-PMB-18</t>
  </si>
  <si>
    <t xml:space="preserve">Stabilo Point MAX Bleu </t>
  </si>
  <si>
    <t>ECR-STB-PMN-19</t>
  </si>
  <si>
    <t xml:space="preserve">Stabilo Point MAX Noir </t>
  </si>
  <si>
    <t>BUR-GEN-DEG-01</t>
  </si>
  <si>
    <t>Dégrafeur</t>
  </si>
  <si>
    <t>BUR-WON-TRB-02</t>
  </si>
  <si>
    <t>Trombones  Acier galvanisé WONDAY</t>
  </si>
  <si>
    <t>BUR-GEN-MOU-03</t>
  </si>
  <si>
    <t>Mouilloire</t>
  </si>
  <si>
    <t>ECR-TPX-8ML-20</t>
  </si>
  <si>
    <t>TIPP-EX 8 ml</t>
  </si>
  <si>
    <t>ECR-TPX-4ML-21</t>
  </si>
  <si>
    <t>TIPP-EX 4 ml</t>
  </si>
  <si>
    <t>ECR-GEN-TAI-22</t>
  </si>
  <si>
    <t xml:space="preserve">Taille crayon </t>
  </si>
  <si>
    <t>BUR-GEN-CAS-04</t>
  </si>
  <si>
    <t>Casette d'encrage rectangle violet petit</t>
  </si>
  <si>
    <t>BUR-GEN-ADH-05</t>
  </si>
  <si>
    <t>Attache adhésive</t>
  </si>
  <si>
    <t>ECR-BIC-NOI-23</t>
  </si>
  <si>
    <t>Stylo BIC Noir</t>
  </si>
  <si>
    <t>BUR-GEN-CAS-06</t>
  </si>
  <si>
    <t>Cassette d'engrage rectangle bleu petit</t>
  </si>
  <si>
    <t>ECR-STB-BOS-24</t>
  </si>
  <si>
    <t>STABILO Boss Original 70/4</t>
  </si>
  <si>
    <t>BUR-GEN-CAS-07</t>
  </si>
  <si>
    <t>Cassette d'encrage rectangle bleu medium</t>
  </si>
  <si>
    <t>BUR-GEN-CAS-08</t>
  </si>
  <si>
    <t>Cassette d'encrage rectangle bleu large</t>
  </si>
  <si>
    <t>PAP-CAL-N38-01</t>
  </si>
  <si>
    <t>Notes CALIPAGE 38x51mm</t>
  </si>
  <si>
    <t>BUR-GEN-CAS-09</t>
  </si>
  <si>
    <t>Cassette d'encrage recttangle rouge medium</t>
  </si>
  <si>
    <t>PAP-PIT-N12-02</t>
  </si>
  <si>
    <t>POST-IT 127x76mm</t>
  </si>
  <si>
    <t>BUR-GEN-CAS-10</t>
  </si>
  <si>
    <t>Cassette d'encrage rectangle rouge petit</t>
  </si>
  <si>
    <t>BUR-GEN-CAS-11</t>
  </si>
  <si>
    <t>Cassette d'encrage rond bleu</t>
  </si>
  <si>
    <t>PAP-PIT-N38-03</t>
  </si>
  <si>
    <t>POST-IT 38x51mm</t>
  </si>
  <si>
    <t>PAP-PIT-IND-04</t>
  </si>
  <si>
    <t>POST-IT Index 25,4x43,2mm</t>
  </si>
  <si>
    <t>PAP-PIT-I12-05</t>
  </si>
  <si>
    <t>POST-IT INFO 125x75mm</t>
  </si>
  <si>
    <t>ECR-STD-GOM-25</t>
  </si>
  <si>
    <t>Gommes STAEDTLER</t>
  </si>
  <si>
    <t>PAP-GEN-BA5-06</t>
  </si>
  <si>
    <t>Bloc de Bureau A5</t>
  </si>
  <si>
    <t>BUR-MAP-ATC-12</t>
  </si>
  <si>
    <t>Attache croisée acier MAPED 48X50</t>
  </si>
  <si>
    <t>BUR-WON-ATC-13</t>
  </si>
  <si>
    <t>Attache croisée acier WONDAY 30X40</t>
  </si>
  <si>
    <t>BUR-GEN-PCL-14</t>
  </si>
  <si>
    <t>Pince double clip 51mm</t>
  </si>
  <si>
    <t>BUR-GEN-PCL-15</t>
  </si>
  <si>
    <t>Pince double clip 32mm</t>
  </si>
  <si>
    <t>BUR-UHU-GLU-16</t>
  </si>
  <si>
    <t>UHU stic 21g</t>
  </si>
  <si>
    <t>BUR-GEN-CLP-17</t>
  </si>
  <si>
    <t>CLIP</t>
  </si>
  <si>
    <t>CLA-WON-REL-01</t>
  </si>
  <si>
    <t>Relieur d'archives en métal WONDAY</t>
  </si>
  <si>
    <t>BUR-BOS-AGR-18</t>
  </si>
  <si>
    <t>Agrafeuse BOSTITCH P3</t>
  </si>
  <si>
    <t>PAP-PIT-I75-07</t>
  </si>
  <si>
    <t>POST-IT INFO 75x75mm</t>
  </si>
  <si>
    <t>BUR-GEN-COI-19</t>
  </si>
  <si>
    <t>Coins de lettres</t>
  </si>
  <si>
    <t>BUR-WON-PER-20</t>
  </si>
  <si>
    <t>Perforateur petit WONDAY</t>
  </si>
  <si>
    <t>BUR-GEN-PER-22</t>
  </si>
  <si>
    <t>Perforateur grand</t>
  </si>
  <si>
    <t>CLA-GEN-PPH-02</t>
  </si>
  <si>
    <t>Pochettes photo</t>
  </si>
  <si>
    <t>BUR-QCO-TAG-23</t>
  </si>
  <si>
    <t>Q-CONNECT GREEN TAGS</t>
  </si>
  <si>
    <t>BUR-GEN-BRC-24</t>
  </si>
  <si>
    <t>Bracelet caoutchouc</t>
  </si>
  <si>
    <t>BUR-GEN-BRC-25</t>
  </si>
  <si>
    <t>Bracelet caoutchouc étroit</t>
  </si>
  <si>
    <t>50g</t>
  </si>
  <si>
    <t>BUR-RAP-AGR-26</t>
  </si>
  <si>
    <t>Agrafes Colorées RAPID</t>
  </si>
  <si>
    <t>BUR-GEN-BRC-27</t>
  </si>
  <si>
    <t>Bracelet caoutchouc épais</t>
  </si>
  <si>
    <t>BUR-RAP-AGR-28</t>
  </si>
  <si>
    <t>Agrafes 8,5mm RAPID</t>
  </si>
  <si>
    <t>BUR-GEN-MAC-29</t>
  </si>
  <si>
    <t>Machine scottch</t>
  </si>
  <si>
    <t>BUR-GEN-ADH-30</t>
  </si>
  <si>
    <t>Petit adhésif</t>
  </si>
  <si>
    <t>BUR-GEN-AGR-31</t>
  </si>
  <si>
    <t>Agrafes SP19 06mm</t>
  </si>
  <si>
    <t>BUR-GEN-ADH-32</t>
  </si>
  <si>
    <t>Gros adhésif</t>
  </si>
  <si>
    <t>BUR-GEN-FIX-33</t>
  </si>
  <si>
    <t>Mécanisme de fixation flexible</t>
  </si>
  <si>
    <t>PAP-CAL-RA3-08</t>
  </si>
  <si>
    <t>Papier A3 CALIPAGE</t>
  </si>
  <si>
    <t>BUR-PAP-AGR-34</t>
  </si>
  <si>
    <t xml:space="preserve">Agrafes marque papillon </t>
  </si>
  <si>
    <t>CON-MET-LAV-01</t>
  </si>
  <si>
    <t>Lavettes microfibre METRO</t>
  </si>
  <si>
    <t>Consommable</t>
  </si>
  <si>
    <t>BUR-PRG-AGR-35</t>
  </si>
  <si>
    <t>Agrafes PERGAMY SP19 1/4</t>
  </si>
  <si>
    <t>BUR-RAP-AGR-36</t>
  </si>
  <si>
    <t>Agrafes JAKY RAPID 10mm</t>
  </si>
  <si>
    <t>CON-MET-SER-02</t>
  </si>
  <si>
    <t>Serpillière METRO</t>
  </si>
  <si>
    <t>CON-WCN-BLO-03</t>
  </si>
  <si>
    <t>Bloc senteur WCNET</t>
  </si>
  <si>
    <t>BUR-GEN-AGR-37</t>
  </si>
  <si>
    <t>Agrafes Staples 19 1/4</t>
  </si>
  <si>
    <t>CON-PPN-TOL-05</t>
  </si>
  <si>
    <t>Papier toilette PAPERNET</t>
  </si>
  <si>
    <t>BUR-RAP-AGR-38</t>
  </si>
  <si>
    <t>Agrafes RAPID 26/6</t>
  </si>
  <si>
    <t>BUR-RAP-AGR-39</t>
  </si>
  <si>
    <t>Agrafes RAPID 24/6</t>
  </si>
  <si>
    <t>PAP-CF-RA4-09</t>
  </si>
  <si>
    <t>Papier CLAIRFONTAINE</t>
  </si>
  <si>
    <t>BUR-RAP-AGR-40</t>
  </si>
  <si>
    <t>Agrafes Bronze RAPID 4mm</t>
  </si>
  <si>
    <t>BUR-GEN-AGR-41</t>
  </si>
  <si>
    <t>Agrafes 5 26/6</t>
  </si>
  <si>
    <t>BUR-GEN-CAS-42</t>
  </si>
  <si>
    <t>Cassette d'encrage carrée bleu</t>
  </si>
  <si>
    <t>BUR-NIC-AGR-43</t>
  </si>
  <si>
    <t>NICEDAY Agrafes 24/6</t>
  </si>
  <si>
    <t>BUR-REX-AGR-44</t>
  </si>
  <si>
    <t>Agrafes REXEL 12,8x9mm</t>
  </si>
  <si>
    <t>BUR-ODP-AGR-45</t>
  </si>
  <si>
    <t>Agrafes OFFICE DEPOT 24/6</t>
  </si>
  <si>
    <t>BUR-GEN-CAS-46</t>
  </si>
  <si>
    <t>Cassette d'encrage rond noir</t>
  </si>
  <si>
    <t>BUR-GEN-CAS-47</t>
  </si>
  <si>
    <t>Cassette d'encrage ovale bleu</t>
  </si>
  <si>
    <t>BUR-LTZ-AGR-48</t>
  </si>
  <si>
    <t>Agrafes LEITZ P6</t>
  </si>
  <si>
    <t>BUR-GEN-CAS-49</t>
  </si>
  <si>
    <t>Cassette d'encrage carrée noir</t>
  </si>
  <si>
    <t>BUR-GEN-CAS-50</t>
  </si>
  <si>
    <t>Cassette d'encrage rectangle rouge</t>
  </si>
  <si>
    <t>PAP-KOR-CAR-10</t>
  </si>
  <si>
    <t>Papier carbon KORES</t>
  </si>
  <si>
    <t>Papeterie</t>
  </si>
  <si>
    <t>PAP-CF-1969-11</t>
  </si>
  <si>
    <t>Papier CLAIRFONTAINE A3 80G 1969</t>
  </si>
  <si>
    <t>PAP-PEL-CAR-12</t>
  </si>
  <si>
    <t>Papier carbon PELIKAN</t>
  </si>
  <si>
    <t>PAP-CF-A4VT-13</t>
  </si>
  <si>
    <t>Papier vert CLAIRFONTAINE 500 A4</t>
  </si>
  <si>
    <t>5 RAM</t>
  </si>
  <si>
    <t>Armoire B</t>
  </si>
  <si>
    <t>PAP-CF-A4RS-14</t>
  </si>
  <si>
    <t>Papier rose CLAIRFONTAINE 500 A4</t>
  </si>
  <si>
    <t>PAP-CF-A4IV-15</t>
  </si>
  <si>
    <t>Papier ivoire CLAIRFONTAINE 500 A4</t>
  </si>
  <si>
    <t>PAP-CF-A4BL-16</t>
  </si>
  <si>
    <t>Papier bleu CLAIRFONTAINE 500 A4</t>
  </si>
  <si>
    <t>PAP-ODP-A4JN-17</t>
  </si>
  <si>
    <t>Papier jaune OFFICE DEPOT</t>
  </si>
  <si>
    <t>PAP-GEN-A4BL-18</t>
  </si>
  <si>
    <t>Papier BLANC</t>
  </si>
  <si>
    <t>PAP-CF-A4VF-19</t>
  </si>
  <si>
    <t>Papier vert foncé CLAIRFONTAINE</t>
  </si>
  <si>
    <t>PAP-CF-A4VJ-20</t>
  </si>
  <si>
    <t>Papier vert jade  CLAIRFONTAINE 500 A4</t>
  </si>
  <si>
    <t>PAP-SLX-A4BL-21</t>
  </si>
  <si>
    <t>Papier spécial bleu Securelinx</t>
  </si>
  <si>
    <t>CLA-GEN-PRE-03</t>
  </si>
  <si>
    <t>Papier reliure</t>
  </si>
  <si>
    <t>CLA-GEN-PLR-04</t>
  </si>
  <si>
    <t>Plastique reliure</t>
  </si>
  <si>
    <t>INF-GEN-MAG-203A-01</t>
  </si>
  <si>
    <t>Encre imprimante magenta</t>
  </si>
  <si>
    <t>Informatique</t>
  </si>
  <si>
    <t>INF-GEN-JAU-203A-02</t>
  </si>
  <si>
    <t>Encre imprimante jaune</t>
  </si>
  <si>
    <t>INF-GEN-MAG-201A-03</t>
  </si>
  <si>
    <t>INF-GEN-JAU-201A-04</t>
  </si>
  <si>
    <t>INF-GEN-NOI-203A-05</t>
  </si>
  <si>
    <t>Encre imprimante noir</t>
  </si>
  <si>
    <t>INF-GEN-NOI-201A-06</t>
  </si>
  <si>
    <t>INF-GEN-BLE-203A-07</t>
  </si>
  <si>
    <t>Encre imprimante bleu CYAN</t>
  </si>
  <si>
    <t>INF-GEN-BLE-201A-08</t>
  </si>
  <si>
    <t xml:space="preserve"> Encre imprimante bleu CYAN </t>
  </si>
  <si>
    <t>INF-QUA-INK-01</t>
  </si>
  <si>
    <t>Cartouche d'encre QUADIENT</t>
  </si>
  <si>
    <t>INF-BRO-TON-02</t>
  </si>
  <si>
    <t>Cartouche toner BROTHER</t>
  </si>
  <si>
    <t>CLA-GEN-BA3-05</t>
  </si>
  <si>
    <t>Baguettes à relier 3mm</t>
  </si>
  <si>
    <t>CLA-GEN-BA6-06</t>
  </si>
  <si>
    <t>Baguettes à relier 6mm</t>
  </si>
  <si>
    <t>CLA-EXA-CLG-07</t>
  </si>
  <si>
    <t>Classeur gris EXACOMTA</t>
  </si>
  <si>
    <t>CLA-BRN-CLB-08</t>
  </si>
  <si>
    <t>BRUNPASSO classeur</t>
  </si>
  <si>
    <t>CLA-ELB-CLE-09</t>
  </si>
  <si>
    <t xml:space="preserve">ELBA classeur </t>
  </si>
  <si>
    <t>CLA-DUR-P30-10</t>
  </si>
  <si>
    <t>Pochette DURABLE 30</t>
  </si>
  <si>
    <t>CLA-DUR-P60-11</t>
  </si>
  <si>
    <t>Pochette DURABLE 60</t>
  </si>
  <si>
    <t>CLA-ELB-AZB-12</t>
  </si>
  <si>
    <t>AZV Organizer ELBA Bleu</t>
  </si>
  <si>
    <t>CLA-ELB-AZO-13</t>
  </si>
  <si>
    <t>AZO ELBA Orange</t>
  </si>
  <si>
    <t>ENV-PLY-243-01</t>
  </si>
  <si>
    <t>Enveloppe Polythene 240x325+50mm</t>
  </si>
  <si>
    <t>Enveloppe</t>
  </si>
  <si>
    <t>ENV-PLY-314-02</t>
  </si>
  <si>
    <t>Enveloppe Polythene 310x420+50mm</t>
  </si>
  <si>
    <t>PAP-CNQ-A4BN-22</t>
  </si>
  <si>
    <t>Papier CONQUEROR Blanc nacré</t>
  </si>
  <si>
    <t>ENV-PLY-DHL-03</t>
  </si>
  <si>
    <t>Enveloppe Polythene DHL</t>
  </si>
  <si>
    <t>CLA-PRG-INT-14</t>
  </si>
  <si>
    <t>Intercalaire PERGAMY</t>
  </si>
  <si>
    <t>Armoire A</t>
  </si>
  <si>
    <t>CLA-OXF-INT-15</t>
  </si>
  <si>
    <t>Intercalaire OXFORD</t>
  </si>
  <si>
    <t>CLA-AVY-INT-16</t>
  </si>
  <si>
    <t>Intercalaire AVERY</t>
  </si>
  <si>
    <t>CLA-GEN-INT-17</t>
  </si>
  <si>
    <t>Intercalaire multicolore</t>
  </si>
  <si>
    <t>CLA-GEN-PPO-18</t>
  </si>
  <si>
    <t>Pochette plastifiée opaque</t>
  </si>
  <si>
    <t>CLA-GEN-PCP-19</t>
  </si>
  <si>
    <t xml:space="preserve">Pochettes perforées </t>
  </si>
  <si>
    <t>CLA-GEN-PCC-20</t>
  </si>
  <si>
    <t xml:space="preserve">Pochettes colorées </t>
  </si>
  <si>
    <t>CLA-GEN-LUT-21</t>
  </si>
  <si>
    <t>Lutin</t>
  </si>
  <si>
    <t>CLA-SEC-PCC-22</t>
  </si>
  <si>
    <t>Pochettes colorées SEC</t>
  </si>
  <si>
    <t>CLA-GEN-PPT-23</t>
  </si>
  <si>
    <t>Pochette plastifiée transparente</t>
  </si>
  <si>
    <t>PAP-CF-DCP-23</t>
  </si>
  <si>
    <t>Digital colour printing CLAIRFONTAINE</t>
  </si>
  <si>
    <t>PAP-GEN-PAY-24</t>
  </si>
  <si>
    <t>Préimprimé de paye</t>
  </si>
  <si>
    <t>CLA-EXA-CHJ-24</t>
  </si>
  <si>
    <t>Chemise dos toilé jaune EXACOMTA</t>
  </si>
  <si>
    <t>CLA-EXA-CHV-25</t>
  </si>
  <si>
    <t>Chemise dos toilé vert EXACOMTA</t>
  </si>
  <si>
    <t>CLA-EXA-CHR-26</t>
  </si>
  <si>
    <t>Chemise dos toilé rouge EXACOMTA</t>
  </si>
  <si>
    <t>CLA-EXA-CHB-27</t>
  </si>
  <si>
    <t>Chemise dos toilé bleu EXACOMTA</t>
  </si>
  <si>
    <t>CLA-GEN-DSC-28</t>
  </si>
  <si>
    <t>Dossiers colorés</t>
  </si>
  <si>
    <t>CLA-GEN-DCS-29</t>
  </si>
  <si>
    <t>Dossiers colorés spéciaux</t>
  </si>
  <si>
    <t>CLA-GEN-DSR-30</t>
  </si>
  <si>
    <t>Dossiers rigides</t>
  </si>
  <si>
    <t>PAP-GEN-CNP-25</t>
  </si>
  <si>
    <t>Carnet de notes petit</t>
  </si>
  <si>
    <t>PAP-GEN-CNG-26</t>
  </si>
  <si>
    <t>Carnets de notes grands</t>
  </si>
  <si>
    <t>BUR-PRG-ETI-51</t>
  </si>
  <si>
    <t>Etiquettes multifonctions PERGAMY</t>
  </si>
  <si>
    <t>CLA-OXF-PVU-31</t>
  </si>
  <si>
    <t>Porte vues OXFORD</t>
  </si>
  <si>
    <t>CLA-3LO-PAF-32</t>
  </si>
  <si>
    <t>Pochettes d'affichage A4 3LOffice</t>
  </si>
  <si>
    <t>PAP-AMB-PPR-27</t>
  </si>
  <si>
    <t>Papier presentation AMB</t>
  </si>
  <si>
    <t>PAP-CF-C24-28</t>
  </si>
  <si>
    <t>Cahier CLAIREFONTAINE 24X32</t>
  </si>
  <si>
    <t>PAP-OXF-C24-29</t>
  </si>
  <si>
    <t>Cahier OXFORD 24X32</t>
  </si>
  <si>
    <t>PAP-CF-C21-30</t>
  </si>
  <si>
    <t>Cahier CLAIREFONTAINE 21X29,7</t>
  </si>
  <si>
    <t>PAP-CF-C14-31</t>
  </si>
  <si>
    <t>Cahier CLAIREFONTAINE 14.8X21</t>
  </si>
  <si>
    <t>CLA-FEL-BA8-33</t>
  </si>
  <si>
    <t>Baguettes à relier FELLOWES 8mm</t>
  </si>
  <si>
    <t>CLA-FEL-BA6-34</t>
  </si>
  <si>
    <t>Baguettes à relier FELLOWES 6mm</t>
  </si>
  <si>
    <t>CLA-FEL-BA12-35</t>
  </si>
  <si>
    <t>Baguettes à relier FELLOWES 12mm</t>
  </si>
  <si>
    <t>CLA-FEL-BA14-36</t>
  </si>
  <si>
    <t>Baguettes à relier FELLOWES 14mm</t>
  </si>
  <si>
    <t>CLA-FEL-BA19-37</t>
  </si>
  <si>
    <t>Baguettes à relier FELLOWES 19mm</t>
  </si>
  <si>
    <t>CLA-FEL-BA16-38</t>
  </si>
  <si>
    <t>Baguettes à relier FELLOWES 16mm</t>
  </si>
  <si>
    <t>ENV-KFT-332-04</t>
  </si>
  <si>
    <t>Enveloppe 330x260 papier kraft</t>
  </si>
  <si>
    <t>ENV-KFT-MOY-05</t>
  </si>
  <si>
    <t>Enveloppe kraft moyenne</t>
  </si>
  <si>
    <t>ENV-GEN-229-06</t>
  </si>
  <si>
    <t>Enveloppe 229x324 BL AMB</t>
  </si>
  <si>
    <t>Armoire F</t>
  </si>
  <si>
    <t>ENV-GEN-SSF-07</t>
  </si>
  <si>
    <t>Enveloppe Sacs à soufflet 229x324</t>
  </si>
  <si>
    <t>ENV-GEN-BLA-08</t>
  </si>
  <si>
    <t>Enveloppes blanches 903970</t>
  </si>
  <si>
    <t>ENV-GEN-BAN-09</t>
  </si>
  <si>
    <t xml:space="preserve">Enveloppe 229x324 Blanc Antique </t>
  </si>
  <si>
    <t>ENV-AMB-114-10</t>
  </si>
  <si>
    <t>Enveloppe 114x162 Avec nom AMB</t>
  </si>
  <si>
    <t>1 596</t>
  </si>
  <si>
    <t>ENV-AMB-MIN-11</t>
  </si>
  <si>
    <t>Enveloppe mini Avec nom AMB</t>
  </si>
  <si>
    <t>ENV-AMB-MOY-12</t>
  </si>
  <si>
    <t>Enveloppe moyenne AMB</t>
  </si>
  <si>
    <t>ENV-GEN-NAC-13</t>
  </si>
  <si>
    <t>Enveloppe moyenne Nacre</t>
  </si>
  <si>
    <t>ENV-AMB-NAC-14</t>
  </si>
  <si>
    <t>Enveloppe moyenne Nacre AMB</t>
  </si>
  <si>
    <t xml:space="preserve"> Enveloppe</t>
  </si>
  <si>
    <t>ENV-AMB-LON-15</t>
  </si>
  <si>
    <t>Enveloppe longue AMB 110x220</t>
  </si>
  <si>
    <t>ENV-GEN-QUA-16</t>
  </si>
  <si>
    <t>Enveloppe quadrillée</t>
  </si>
  <si>
    <t>ENV-LCO-SIM-17</t>
  </si>
  <si>
    <t>Enveloppe La COuronne simple</t>
  </si>
  <si>
    <t>ENV-GEN-SS2-18</t>
  </si>
  <si>
    <t>Enveloppe Sacs à soufflet 280x410</t>
  </si>
  <si>
    <t>ENV-GEN-SS3-19</t>
  </si>
  <si>
    <t>Enveloppe Sacs à soufflet 275x365</t>
  </si>
  <si>
    <t>ENV-KFT-GRN-20</t>
  </si>
  <si>
    <t>Enveloppe grande kraft</t>
  </si>
  <si>
    <t>ENV-KFT-SS2-21</t>
  </si>
  <si>
    <t>Enveloppe Kraft à soufflet 280x375</t>
  </si>
  <si>
    <t>INF-XER-REC-09</t>
  </si>
  <si>
    <t>Bac de récupération XEROX</t>
  </si>
  <si>
    <t>INF-XER-NOI-10</t>
  </si>
  <si>
    <t>Cartouche de toner dosée noire XEROX</t>
  </si>
  <si>
    <t>INF-XER-DMA-11</t>
  </si>
  <si>
    <t>Cartouche de toner dosée magenta XEROX</t>
  </si>
  <si>
    <t>INF-HP-YEL-12</t>
  </si>
  <si>
    <t>Cartouche de toner gérée HP</t>
  </si>
  <si>
    <t>INF-XER-MAG-13</t>
  </si>
  <si>
    <t>Cartouche de toner magenta XEROX</t>
  </si>
  <si>
    <t>INF-GEN-BLA-14</t>
  </si>
  <si>
    <t>Cartouche de toner noir GENUINE</t>
  </si>
  <si>
    <t>INF-XER-YEL-15</t>
  </si>
  <si>
    <t>Cartouche de toner jaune XEROX</t>
  </si>
  <si>
    <t>INF-SEY-CON-16</t>
  </si>
  <si>
    <t>Convertisseur SEYAS</t>
  </si>
  <si>
    <t>CLA-GEN-PH15-39</t>
  </si>
  <si>
    <t xml:space="preserve">Pochettes photo 15x18cm transparent </t>
  </si>
  <si>
    <t>Armoire G</t>
  </si>
  <si>
    <t>ENV-BUL-GRN-22</t>
  </si>
  <si>
    <t>Enveloppe à bulles grande</t>
  </si>
  <si>
    <t>ENV-GEN-VRA-23</t>
  </si>
  <si>
    <t>Grande enveloppe vrac</t>
  </si>
  <si>
    <t>ENV-BUL-223-24</t>
  </si>
  <si>
    <t>Enveloppe à bulles 22x33cm</t>
  </si>
  <si>
    <t>ENV-AMB-162-25</t>
  </si>
  <si>
    <t>Enveloppe 162x229 avec nom AMB</t>
  </si>
  <si>
    <t>ENV-BUL-PTI-26</t>
  </si>
  <si>
    <t>Enveloppe à bulles petite</t>
  </si>
  <si>
    <t>ENV-GEN-FEU-27</t>
  </si>
  <si>
    <t>Enveloppe A4 feutrine</t>
  </si>
  <si>
    <t>ENV-PER-ADH-28</t>
  </si>
  <si>
    <t>Pochettes kraft auto-adhésives</t>
  </si>
  <si>
    <t>CON-PAP-SOP-06</t>
  </si>
  <si>
    <t>Sopalin PAPERNET</t>
  </si>
  <si>
    <t>ENV-BUL-MOY-30</t>
  </si>
  <si>
    <t>Enveloppe à bulles moyenne</t>
  </si>
  <si>
    <t>ENV-BUL-TRG-31</t>
  </si>
  <si>
    <t>Enveloppe à bulles très grande</t>
  </si>
  <si>
    <t>EQU-INT-LED-01</t>
  </si>
  <si>
    <t>Integral LED 470 F</t>
  </si>
  <si>
    <t>Equipement</t>
  </si>
  <si>
    <t>Armoire C</t>
  </si>
  <si>
    <t>EQU-LUT-LED-02</t>
  </si>
  <si>
    <t>LED Light Bulb 545 F LUTW</t>
  </si>
  <si>
    <t>EQU-CTA-LED-03</t>
  </si>
  <si>
    <t>V-TAC Led G45 BULB</t>
  </si>
  <si>
    <t>EQU-TOM-R7S-04</t>
  </si>
  <si>
    <t>TOMOSU R7S 118mm</t>
  </si>
  <si>
    <t>EQU-GEN-TGE-05</t>
  </si>
  <si>
    <t>Tube garde eau</t>
  </si>
  <si>
    <t>EQU-VER-LED-06</t>
  </si>
  <si>
    <t>VERBATIM LED 50W</t>
  </si>
  <si>
    <t>EQU-OSR-STA-07</t>
  </si>
  <si>
    <t>Starter St 111</t>
  </si>
  <si>
    <t>CON-GEN-IIR-07</t>
  </si>
  <si>
    <t>Masques chirurgicaux jetables</t>
  </si>
  <si>
    <t>CON-FRA-SER-08</t>
  </si>
  <si>
    <t>Serviettes jetables</t>
  </si>
  <si>
    <t>CON-HAP-VER-09</t>
  </si>
  <si>
    <t xml:space="preserve">Verines grandes HAPPY PARTY </t>
  </si>
  <si>
    <t>CON-ARO-SER-10</t>
  </si>
  <si>
    <t>Serviettes jetables blanches</t>
  </si>
  <si>
    <t>CON-SQE-VER-11</t>
  </si>
  <si>
    <t xml:space="preserve">Verrines petites SQEU </t>
  </si>
  <si>
    <t>CON-MET-ASS-12</t>
  </si>
  <si>
    <t>Assiette à dessert</t>
  </si>
  <si>
    <t>CON-GRE-GOB-13</t>
  </si>
  <si>
    <t>Gobelets 10cl</t>
  </si>
  <si>
    <t>CON-GEN-NAT-14</t>
  </si>
  <si>
    <t>Barquettes pulpe 1000grs ronde</t>
  </si>
  <si>
    <t>CON-BOM-ALC-15</t>
  </si>
  <si>
    <t>BOMBAY SAPPHIRE Alcool 1L</t>
  </si>
  <si>
    <t>CON-GAP-GOB-16</t>
  </si>
  <si>
    <t>Gobelets 20cl</t>
  </si>
  <si>
    <t>CON-OAK-ALC-17</t>
  </si>
  <si>
    <t>OAK Vodka 1L 40%</t>
  </si>
  <si>
    <t>CON-GOO-ALC-18</t>
  </si>
  <si>
    <t>GOODWILL light Liquor 700ml</t>
  </si>
  <si>
    <t>CON-ART-ALC-19</t>
  </si>
  <si>
    <t>Rhum</t>
  </si>
  <si>
    <t>CON-BOU-HSE-20</t>
  </si>
  <si>
    <t>Bouteille en verre Habitation Saint Etienne (vide)</t>
  </si>
  <si>
    <t>CON-TAI-ALC-21</t>
  </si>
  <si>
    <t>Bouteille de champagne TAITTINGER</t>
  </si>
  <si>
    <t>CON-MET-LAI-22</t>
  </si>
  <si>
    <t>Bouteille de lait</t>
  </si>
  <si>
    <t>CON-CRI-EAU-23</t>
  </si>
  <si>
    <t>Bouteille d'eau CRISTALINE 50cl</t>
  </si>
  <si>
    <t>CON-MAR-EAU-24</t>
  </si>
  <si>
    <t>Bouteille d'eau 1,5L</t>
  </si>
  <si>
    <t>CON-OXE-JAV-25</t>
  </si>
  <si>
    <t>Bidon de javel 5L</t>
  </si>
  <si>
    <t>CON-HON-NAP-26</t>
  </si>
  <si>
    <t xml:space="preserve">Nappes en papier 8m HON </t>
  </si>
  <si>
    <t>CON-BOL-VER-27</t>
  </si>
  <si>
    <t xml:space="preserve">Bol en verre </t>
  </si>
  <si>
    <t>EQU-RED-THE-09</t>
  </si>
  <si>
    <t xml:space="preserve">Théière LA REDOUTE </t>
  </si>
  <si>
    <t xml:space="preserve">Carton </t>
  </si>
  <si>
    <t>EQU-RED-TAS-10</t>
  </si>
  <si>
    <t>Set de tasses et sous-coupe</t>
  </si>
  <si>
    <t>EQU-RED-TAS-11</t>
  </si>
  <si>
    <t>Tasses à café LA REDOUTE</t>
  </si>
  <si>
    <t>EQU-GEN-SERV-01</t>
  </si>
  <si>
    <t xml:space="preserve">Serviettes </t>
  </si>
  <si>
    <t xml:space="preserve">Equipement </t>
  </si>
  <si>
    <t>Carton</t>
  </si>
  <si>
    <t>EQU-GAN-TRA-01</t>
  </si>
  <si>
    <t>Gants</t>
  </si>
  <si>
    <t>EQU-RED-WHI-08</t>
  </si>
  <si>
    <t>Bol blanc LA REDOUTE</t>
  </si>
  <si>
    <t>CON-AHP-NAT-28</t>
  </si>
  <si>
    <t>Mini bol en carton</t>
  </si>
  <si>
    <t>EQU-RED-SUC-12</t>
  </si>
  <si>
    <t>Sucrière LA REDOUTE</t>
  </si>
  <si>
    <t>EQU-ALL-COU-13</t>
  </si>
  <si>
    <t xml:space="preserve">Couvercles plat aluminium </t>
  </si>
  <si>
    <t>EQU-ALU-BOL-14</t>
  </si>
  <si>
    <t xml:space="preserve">Plat aluminium petit </t>
  </si>
  <si>
    <t>EQU-ALU-BOL-15</t>
  </si>
  <si>
    <t xml:space="preserve">Plat aluminium moyen </t>
  </si>
  <si>
    <t>EQU-ALU-BOL-16</t>
  </si>
  <si>
    <t xml:space="preserve">Plat aluminium grand </t>
  </si>
  <si>
    <t>EQU-ALU-BOL-17</t>
  </si>
  <si>
    <t xml:space="preserve">Plat aluminium extra grand </t>
  </si>
  <si>
    <t>CON-ACT-GEL-30</t>
  </si>
  <si>
    <t xml:space="preserve">ACTIFF Gel WC 750 ml </t>
  </si>
  <si>
    <t>Armoire E</t>
  </si>
  <si>
    <t>CON-HAN-WA-31</t>
  </si>
  <si>
    <t xml:space="preserve">GEL Handwash 900ml </t>
  </si>
  <si>
    <t xml:space="preserve">Armoire E </t>
  </si>
  <si>
    <t>CON-LAV-VIT-33</t>
  </si>
  <si>
    <t xml:space="preserve">Lave-Vitres 750ml </t>
  </si>
  <si>
    <t>CON-MET-EPO-29</t>
  </si>
  <si>
    <t>Éponges</t>
  </si>
  <si>
    <t>CON-DISH-LIQ-34</t>
  </si>
  <si>
    <t>Liquide vaisselle DISHWASHING 1L</t>
  </si>
  <si>
    <t>CON-SAC-POU-32</t>
  </si>
  <si>
    <t xml:space="preserve">Sac poubelle 50 L </t>
  </si>
  <si>
    <t>CON-MET-SAC-04</t>
  </si>
  <si>
    <t>Sacs poubelle 100L METRO</t>
  </si>
</sst>
</file>

<file path=xl/styles.xml><?xml version="1.0" encoding="utf-8"?>
<styleSheet xmlns="http://schemas.openxmlformats.org/spreadsheetml/2006/main" xmlns:x14ac="http://schemas.microsoft.com/office/spreadsheetml/2009/9/ac" xmlns:mc="http://schemas.openxmlformats.org/markup-compatibility/2006">
  <fonts count="9">
    <font>
      <sz val="10.0"/>
      <color rgb="FF000000"/>
      <name val="Arial"/>
      <scheme val="minor"/>
    </font>
    <font>
      <b/>
      <color theme="1"/>
      <name val="Arial"/>
      <scheme val="minor"/>
    </font>
    <font>
      <color theme="1"/>
      <name val="Arial"/>
      <scheme val="minor"/>
    </font>
    <font>
      <sz val="10.0"/>
      <color theme="1"/>
      <name val="Arial"/>
      <scheme val="minor"/>
    </font>
    <font>
      <b/>
      <sz val="10.0"/>
      <color rgb="FF000000"/>
      <name val="Arial"/>
      <scheme val="minor"/>
    </font>
    <font>
      <color rgb="FF000000"/>
      <name val="Arial"/>
      <scheme val="minor"/>
    </font>
    <font>
      <b/>
      <color rgb="FF000000"/>
      <name val="Arial"/>
      <scheme val="minor"/>
    </font>
    <font>
      <color theme="1"/>
      <name val="Arial"/>
    </font>
    <font>
      <i/>
      <color theme="1"/>
      <name val="Arial"/>
      <scheme val="minor"/>
    </font>
  </fonts>
  <fills count="6">
    <fill>
      <patternFill patternType="none"/>
    </fill>
    <fill>
      <patternFill patternType="lightGray"/>
    </fill>
    <fill>
      <patternFill patternType="solid">
        <fgColor rgb="FFFFE599"/>
        <bgColor rgb="FFFFE599"/>
      </patternFill>
    </fill>
    <fill>
      <patternFill patternType="solid">
        <fgColor rgb="FFFFFFFF"/>
        <bgColor rgb="FFFFFFFF"/>
      </patternFill>
    </fill>
    <fill>
      <patternFill patternType="solid">
        <fgColor rgb="FFF4CCCC"/>
        <bgColor rgb="FFF4CCCC"/>
      </patternFill>
    </fill>
    <fill>
      <patternFill patternType="solid">
        <fgColor rgb="FFFFF2CC"/>
        <bgColor rgb="FFFFF2CC"/>
      </patternFill>
    </fill>
  </fills>
  <borders count="1">
    <border/>
  </borders>
  <cellStyleXfs count="1">
    <xf borderId="0" fillId="0" fontId="0" numFmtId="0" applyAlignment="1" applyFont="1"/>
  </cellStyleXfs>
  <cellXfs count="45">
    <xf borderId="0" fillId="0" fontId="0" numFmtId="0" xfId="0" applyAlignment="1" applyFont="1">
      <alignment readingOrder="0" shrinkToFit="0" vertical="bottom" wrapText="0"/>
    </xf>
    <xf borderId="0" fillId="2" fontId="1" numFmtId="0" xfId="0" applyAlignment="1" applyFill="1" applyFont="1">
      <alignment horizontal="center" readingOrder="0"/>
    </xf>
    <xf borderId="0" fillId="0" fontId="1" numFmtId="0" xfId="0" applyAlignment="1" applyFont="1">
      <alignment horizontal="center" readingOrder="0"/>
    </xf>
    <xf borderId="0" fillId="0" fontId="0" numFmtId="0" xfId="0" applyAlignment="1" applyFont="1">
      <alignment horizontal="center" readingOrder="0"/>
    </xf>
    <xf borderId="0" fillId="0" fontId="2" numFmtId="0" xfId="0" applyAlignment="1" applyFont="1">
      <alignment horizontal="center" readingOrder="0"/>
    </xf>
    <xf borderId="0" fillId="0" fontId="2" numFmtId="0" xfId="0" applyAlignment="1" applyFont="1">
      <alignment horizontal="center"/>
    </xf>
    <xf borderId="0" fillId="0" fontId="2" numFmtId="0" xfId="0" applyAlignment="1" applyFont="1">
      <alignment horizontal="center" readingOrder="0"/>
    </xf>
    <xf borderId="0" fillId="0" fontId="3" numFmtId="0" xfId="0" applyAlignment="1" applyFont="1">
      <alignment horizontal="center" readingOrder="0"/>
    </xf>
    <xf borderId="0" fillId="0" fontId="2" numFmtId="0" xfId="0" applyAlignment="1" applyFont="1">
      <alignment horizontal="center" readingOrder="0" shrinkToFit="0" wrapText="1"/>
    </xf>
    <xf borderId="0" fillId="0" fontId="0" numFmtId="0" xfId="0" applyAlignment="1" applyFont="1">
      <alignment horizontal="center" readingOrder="0"/>
    </xf>
    <xf borderId="0" fillId="0" fontId="4" numFmtId="0" xfId="0" applyAlignment="1" applyFont="1">
      <alignment horizontal="center" readingOrder="0"/>
    </xf>
    <xf borderId="0" fillId="0" fontId="5" numFmtId="0" xfId="0" applyAlignment="1" applyFont="1">
      <alignment horizontal="center" readingOrder="0"/>
    </xf>
    <xf borderId="0" fillId="0" fontId="5" numFmtId="0" xfId="0" applyAlignment="1" applyFont="1">
      <alignment horizontal="center" readingOrder="0"/>
    </xf>
    <xf borderId="0" fillId="0" fontId="6" numFmtId="0" xfId="0" applyAlignment="1" applyFont="1">
      <alignment readingOrder="0"/>
    </xf>
    <xf borderId="0" fillId="0" fontId="2" numFmtId="0" xfId="0" applyAlignment="1" applyFont="1">
      <alignment readingOrder="0"/>
    </xf>
    <xf borderId="0" fillId="0" fontId="7" numFmtId="0" xfId="0" applyAlignment="1" applyFont="1">
      <alignment horizontal="center" readingOrder="0" vertical="bottom"/>
    </xf>
    <xf borderId="0" fillId="0" fontId="7" numFmtId="0" xfId="0" applyAlignment="1" applyFont="1">
      <alignment horizontal="center" vertical="bottom"/>
    </xf>
    <xf borderId="0" fillId="3" fontId="7" numFmtId="0" xfId="0" applyAlignment="1" applyFill="1" applyFont="1">
      <alignment horizontal="center" readingOrder="0" vertical="bottom"/>
    </xf>
    <xf borderId="0" fillId="3" fontId="2" numFmtId="0" xfId="0" applyFont="1"/>
    <xf borderId="0" fillId="0" fontId="5" numFmtId="0" xfId="0" applyAlignment="1" applyFont="1">
      <alignment horizontal="center" readingOrder="0"/>
    </xf>
    <xf borderId="0" fillId="0" fontId="2" numFmtId="0" xfId="0" applyAlignment="1" applyFont="1">
      <alignment horizontal="center" readingOrder="0"/>
    </xf>
    <xf borderId="0" fillId="0" fontId="2" numFmtId="0" xfId="0" applyAlignment="1" applyFont="1">
      <alignment horizontal="center"/>
    </xf>
    <xf borderId="0" fillId="0" fontId="2" numFmtId="0" xfId="0" applyFont="1"/>
    <xf borderId="0" fillId="0" fontId="7" numFmtId="0" xfId="0" applyAlignment="1" applyFont="1">
      <alignment horizontal="center" readingOrder="0" vertical="bottom"/>
    </xf>
    <xf borderId="0" fillId="0" fontId="7" numFmtId="0" xfId="0" applyAlignment="1" applyFont="1">
      <alignment horizontal="center" vertical="bottom"/>
    </xf>
    <xf borderId="0" fillId="0" fontId="2" numFmtId="0" xfId="0" applyAlignment="1" applyFont="1">
      <alignment horizontal="center" readingOrder="0" shrinkToFit="0" wrapText="1"/>
    </xf>
    <xf borderId="0" fillId="0" fontId="2" numFmtId="0" xfId="0" applyAlignment="1" applyFont="1">
      <alignment horizontal="center" readingOrder="0"/>
    </xf>
    <xf borderId="0" fillId="0" fontId="8" numFmtId="0" xfId="0" applyAlignment="1" applyFont="1">
      <alignment horizontal="center"/>
    </xf>
    <xf borderId="0" fillId="0" fontId="8" numFmtId="0" xfId="0" applyFont="1"/>
    <xf borderId="0" fillId="0" fontId="7" numFmtId="0" xfId="0" applyAlignment="1" applyFont="1">
      <alignment readingOrder="0" vertical="bottom"/>
    </xf>
    <xf borderId="0" fillId="0" fontId="7" numFmtId="0" xfId="0" applyAlignment="1" applyFont="1">
      <alignment horizontal="right" readingOrder="0" vertical="bottom"/>
    </xf>
    <xf borderId="0" fillId="4" fontId="6" numFmtId="0" xfId="0" applyAlignment="1" applyFill="1" applyFont="1">
      <alignment readingOrder="0"/>
    </xf>
    <xf borderId="0" fillId="4" fontId="2" numFmtId="0" xfId="0" applyAlignment="1" applyFont="1">
      <alignment readingOrder="0"/>
    </xf>
    <xf borderId="0" fillId="0" fontId="2" numFmtId="0" xfId="0" applyAlignment="1" applyFont="1">
      <alignment horizontal="right" readingOrder="0"/>
    </xf>
    <xf borderId="0" fillId="0" fontId="7" numFmtId="0" xfId="0" applyAlignment="1" applyFont="1">
      <alignment horizontal="right" vertical="bottom"/>
    </xf>
    <xf borderId="0" fillId="0" fontId="7" numFmtId="0" xfId="0" applyAlignment="1" applyFont="1">
      <alignment vertical="bottom"/>
    </xf>
    <xf borderId="0" fillId="3" fontId="1" numFmtId="0" xfId="0" applyAlignment="1" applyFont="1">
      <alignment horizontal="left" readingOrder="0"/>
    </xf>
    <xf borderId="0" fillId="3" fontId="2" numFmtId="0" xfId="0" applyAlignment="1" applyFont="1">
      <alignment horizontal="left" readingOrder="0"/>
    </xf>
    <xf borderId="0" fillId="3" fontId="2" numFmtId="0" xfId="0" applyAlignment="1" applyFont="1">
      <alignment horizontal="right" readingOrder="0"/>
    </xf>
    <xf borderId="0" fillId="5" fontId="6" numFmtId="0" xfId="0" applyAlignment="1" applyFill="1" applyFont="1">
      <alignment readingOrder="0"/>
    </xf>
    <xf borderId="0" fillId="5" fontId="2" numFmtId="0" xfId="0" applyAlignment="1" applyFont="1">
      <alignment readingOrder="0"/>
    </xf>
    <xf borderId="0" fillId="5" fontId="2" numFmtId="0" xfId="0" applyFont="1"/>
    <xf borderId="0" fillId="0" fontId="2" numFmtId="0" xfId="0" applyAlignment="1" applyFont="1">
      <alignment readingOrder="0" shrinkToFit="0" wrapText="1"/>
    </xf>
    <xf borderId="0" fillId="0" fontId="5" numFmtId="0" xfId="0" applyAlignment="1" applyFont="1">
      <alignment readingOrder="0"/>
    </xf>
    <xf borderId="0" fillId="0" fontId="0" numFmtId="0" xfId="0" applyAlignment="1" applyFont="1">
      <alignment readingOrder="0"/>
    </xf>
  </cellXfs>
  <cellStyles count="1">
    <cellStyle xfId="0" name="Normal" builtinId="0"/>
  </cellStyles>
  <dxfs count="4">
    <dxf>
      <font/>
      <fill>
        <patternFill patternType="none"/>
      </fill>
      <border/>
    </dxf>
    <dxf>
      <font/>
      <fill>
        <patternFill patternType="solid">
          <fgColor rgb="FFBDBDBD"/>
          <bgColor rgb="FFBDBDBD"/>
        </patternFill>
      </fill>
      <border/>
    </dxf>
    <dxf>
      <font/>
      <fill>
        <patternFill patternType="solid">
          <fgColor rgb="FFFFFFFF"/>
          <bgColor rgb="FFFFFFFF"/>
        </patternFill>
      </fill>
      <border/>
    </dxf>
    <dxf>
      <font/>
      <fill>
        <patternFill patternType="solid">
          <fgColor rgb="FFF3F3F3"/>
          <bgColor rgb="FFF3F3F3"/>
        </patternFill>
      </fill>
      <border/>
    </dxf>
  </dxfs>
  <tableStyles count="1">
    <tableStyle count="3" pivot="0" name="Inventaire -style">
      <tableStyleElement dxfId="1" type="headerRow"/>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2:F94" displayName="Table_1" name="Table_1" id="1">
  <tableColumns count="6">
    <tableColumn name=" Référence" id="1"/>
    <tableColumn name="Objet " id="2"/>
    <tableColumn name="Quantité" id="3"/>
    <tableColumn name="Catégorie" id="4"/>
    <tableColumn name="Emplacement" id="5"/>
    <tableColumn name="Stock actuel" id="6"/>
  </tableColumns>
  <tableStyleInfo name="Inventaire -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8.13"/>
    <col customWidth="1" min="2" max="2" width="26.88"/>
    <col customWidth="1" min="3" max="3" width="14.0"/>
  </cols>
  <sheetData>
    <row r="1">
      <c r="A1" s="1" t="s">
        <v>0</v>
      </c>
    </row>
    <row r="2">
      <c r="A2" s="2" t="s">
        <v>1</v>
      </c>
      <c r="B2" s="2" t="s">
        <v>2</v>
      </c>
      <c r="C2" s="2" t="s">
        <v>3</v>
      </c>
      <c r="D2" s="2" t="s">
        <v>4</v>
      </c>
      <c r="E2" s="2" t="s">
        <v>5</v>
      </c>
      <c r="F2" s="2" t="s">
        <v>6</v>
      </c>
    </row>
    <row r="3">
      <c r="A3" s="3" t="s">
        <v>7</v>
      </c>
      <c r="B3" s="4" t="s">
        <v>8</v>
      </c>
      <c r="C3" s="4">
        <v>70.0</v>
      </c>
      <c r="D3" s="5" t="str">
        <f>IFERROR(__xludf.DUMMYFUNCTION("AI(""Écriture
Écriture
Écriture
Écriture
Écriture
Écriture
Écriture
Écriture
Écriture
Écriture
Écriture
Écriture
Écriture
Écriture
Écriture
Écriture
Écriture
Écriture
Écriture
Bureau
Bureau
Bureau
Écriture
Écriture
Écriture
Bureau
Bureau
Écriture
Bureau
É"&amp;"criture
Bureau
Bureau
Papeterie
Bureau
Papeterie
Bureau
Bureau
Papeterie
Papeterie
Papeterie
Écriture
Papeterie
Bureau
Bureau
Bureau
Bureau
Bureau
Bureau
Classement
Bureau
Papeterie
Bureau
Bureau
Bureau
Classement
Bureau
Bureau
Bureau
Bureau
Bureau
Bureau"&amp;"
Bureau
Bureau
Bureau
Bureau
Bureau
Papeterie
Bureau
Consommables
Bureau
Bureau
Consommables
Consommables
Bureau
Consommables
Consommables
Bureau
Bureau
Papeterie
Bureau
Bureau
Bureau
Bureau
Bureau
Bureau
Bureau
Bureau
Bureau
Bureau
Bureau"")"),"Écriture")</f>
        <v>Écriture</v>
      </c>
      <c r="E3" s="4" t="s">
        <v>9</v>
      </c>
      <c r="F3" s="6" t="str">
        <f>IFERROR(__xludf.DUMMYFUNCTION("AI(""70
42
2
3
14
34
10
10
8
23
8
3
1
1
7
12
29
24
24
4
17
5
4
1
1
8
198
34
9
11
8
11
24
2
31
3
4
12
10
56
21
20
160
100
6
22
21
50
47
1
56
120
2
1
75
270
900g
50g
40
100g
15
1
11
144
10
2
9
44
8
34
32
5
4
15
8
19
40
15
20
35
13
25
25
14
5
18
10
6
4
1
3
1"&amp;"
5 RAM
5 RAM (+1 VRAC)
3 RAM
4 RAM
 1 RAM + 1 VRAC
1 VRAC
1 RAM + 1 VRAC
3 RAM
1 RAM
VRAC
220
3
3
3
3
2
2
3
3
40ml
1
60
40
3
1
2
54
58
5
17
16
200
240
4
9
13
1
180
720
200
16
2
23
140
267
3 RAM
4
4
9
4
2000
21
5
1
2
51
2
10
4 RAM
7
1
3
3
70
91
157
97
92
"&amp;"94
214
34
90
98
174
554
1 596
101
67
22
7
1247
216
20
50
194
146
397
3
1
2
1
1
1
2
1
825
163
12
8
156
101
60
156
40
8
33
19
10
7
8
1
2
5
50
100
50
400
217
50
150
127
4
31
1
1
1
2
3
12
103
3
1
1
3
2
3 tasses 3 sous-coupe 
8
20
2 paires
2
50
2
46
40
4
2
6
4"&amp;"
3
5
9
5
4
120"")"),"70")</f>
        <v>70</v>
      </c>
    </row>
    <row r="4">
      <c r="A4" s="3" t="s">
        <v>10</v>
      </c>
      <c r="B4" s="4" t="s">
        <v>11</v>
      </c>
      <c r="C4" s="4">
        <v>42.0</v>
      </c>
      <c r="D4" s="5" t="str">
        <f>IFERROR(__xludf.DUMMYFUNCTION("AI(""Écriture
Écriture
Écriture
Écriture
Écriture
Écriture
Écriture
Écriture
Écriture
Écriture
Écriture
Écriture
Écriture
Écriture
Écriture
Écriture
Écriture
Écriture
Écriture
Bureau
Bureau
Bureau
Écriture
Écriture
Écriture
Bureau
Bureau
Écriture
Bureau
É"&amp;"criture
Bureau
Bureau
Papeterie
Bureau
Papeterie
Bureau
Bureau
Papeterie
Papeterie
Papeterie
Écriture
Papeterie
Bureau
Bureau
Bureau
Bureau
Bureau
Bureau
Classement
Bureau
Papeterie
Bureau
Bureau
Bureau
Classement
Bureau
Bureau
Bureau
Bureau
Bureau
Bureau"&amp;"
Bureau
Bureau
Bureau
Bureau
Bureau
Papeterie
Bureau
Consommables
Bureau
Bureau
Consommables
Consommables
Bureau
Consommables
Consommables
Bureau
Bureau
Papeterie
Bureau
Bureau
Bureau
Bureau
Bureau
Bureau
Bureau
Bureau
Bureau
Bureau
Bureau"")"),"Écriture")</f>
        <v>Écriture</v>
      </c>
      <c r="E4" s="5" t="str">
        <f>IFERROR(__xludf.DUMMYFUNCTION("AI(""Armoire D"")"),"Armoire D")</f>
        <v>Armoire D</v>
      </c>
      <c r="F4" s="5" t="str">
        <f>IFERROR(__xludf.DUMMYFUNCTION("AI(""70
42
2
3
14
34
10
10
8
23
8
3
1
1
7
12
29
24
24
4
17
5
4
1
1
8
198
34
9
11
8
11
24
2
31
3
4
12
10
56
21
20
160
100
6
22
21
50
47
1
56
120
2
1
75
270
900g
50g
40
100g
15
1
11
144
10
2
9
44
8
34
32
5
4
15
8
19
40
15
20
35
13
25
25
14
5
18
10
6
4
1
3
1"&amp;"
5 RAM
5 RAM (+1 VRAC)
3 RAM
4 RAM
 1 RAM + 1 VRAC
1 VRAC
1 RAM + 1 VRAC
3 RAM
1 RAM
VRAC
220
3
3
3
3
2
2
3
3
40ml
1
60
40
3
1
2
54
58
5
17
16
200
240
4
9
13
1
180
720
200
16
2
23
140
267
3 RAM
4
4
9
4
2000
21
5
1
2
51
2
10
4 RAM
7
1
3
3
70
91
157
97
92
"&amp;"94
214
34
90
98
174
554
1 596
101
67
22
7
1247
216
20
50
194
146
397
3
1
2
1
1
1
2
1
825
163
12
8
156
101
60
156
40
8
33
19
10
7
8
1
2
5
50
100
50
400
217
50
150
127
4
31
1
1
1
2
3
12
103
3
1
1
3
2
3 tasses 3 sous-coupe 
8
20
2 paires
2
50
2
46
40
4
2
6
4"&amp;"
3
5
9
5
4
120"")"),"42")</f>
        <v>42</v>
      </c>
    </row>
    <row r="5">
      <c r="A5" s="3" t="s">
        <v>12</v>
      </c>
      <c r="B5" s="4" t="s">
        <v>13</v>
      </c>
      <c r="C5" s="4">
        <v>2.0</v>
      </c>
      <c r="D5" s="5" t="str">
        <f>IFERROR(__xludf.DUMMYFUNCTION("AI(""Écriture
Écriture
Écriture
Écriture
Écriture
Écriture
Écriture
Écriture
Écriture
Écriture
Écriture
Écriture
Écriture
Écriture
Écriture
Écriture
Écriture
Écriture
Écriture
Bureau
Bureau
Bureau
Écriture
Écriture
Écriture
Bureau
Bureau
Écriture
Bureau
É"&amp;"criture
Bureau
Bureau
Papeterie
Bureau
Papeterie
Bureau
Bureau
Papeterie
Papeterie
Papeterie
Écriture
Papeterie
Bureau
Bureau
Bureau
Bureau
Bureau
Bureau
Classement
Bureau
Papeterie
Bureau
Bureau
Bureau
Classement
Bureau
Bureau
Bureau
Bureau
Bureau
Bureau"&amp;"
Bureau
Bureau
Bureau
Bureau
Bureau
Papeterie
Bureau
Consommables
Bureau
Bureau
Consommables
Consommables
Bureau
Consommables
Consommables
Bureau
Bureau
Papeterie
Bureau
Bureau
Bureau
Bureau
Bureau
Bureau
Bureau
Bureau
Bureau
Bureau
Bureau"")"),"Écriture")</f>
        <v>Écriture</v>
      </c>
      <c r="E5" s="5" t="str">
        <f>IFERROR(__xludf.DUMMYFUNCTION("AI(""Armoire D"")"),"Armoire D")</f>
        <v>Armoire D</v>
      </c>
      <c r="F5" s="5" t="str">
        <f>IFERROR(__xludf.DUMMYFUNCTION("AI(""70
42
2
3
14
34
10
10
8
23
8
3
1
1
7
12
29
24
24
4
17
5
4
1
1
8
198
34
9
11
8
11
24
2
31
3
4
12
10
56
21
20
160
100
6
22
21
50
47
1
56
120
2
1
75
270
900g
50g
40
100g
15
1
11
144
10
2
9
44
8
34
32
5
4
15
8
19
40
15
20
35
13
25
25
14
5
18
10
6
4
1
3
1"&amp;"
5 RAM
5 RAM (+1 VRAC)
3 RAM
4 RAM
 1 RAM + 1 VRAC
1 VRAC
1 RAM + 1 VRAC
3 RAM
1 RAM
VRAC
220
3
3
3
3
2
2
3
3
40ml
1
60
40
3
1
2
54
58
5
17
16
200
240
4
9
13
1
180
720
200
16
2
23
140
267
3 RAM
4
4
9
4
2000
21
5
1
2
51
2
10
4 RAM
7
1
3
3
70
91
157
97
92
"&amp;"94
214
34
90
98
174
554
1 596
101
67
22
7
1247
216
20
50
194
146
397
3
1
2
1
1
1
2
1
825
163
12
8
156
101
60
156
40
8
33
19
10
7
8
1
2
5
50
100
50
400
217
50
150
127
4
31
1
1
1
2
3
12
103
3
1
1
3
2
3 tasses 3 sous-coupe 
8
20
2 paires
2
50
2
46
40
4
2
6
4"&amp;"
3
5
9
5
4
120"")"),"2")</f>
        <v>2</v>
      </c>
    </row>
    <row r="6">
      <c r="A6" s="7" t="s">
        <v>14</v>
      </c>
      <c r="B6" s="4" t="s">
        <v>15</v>
      </c>
      <c r="C6" s="4">
        <v>3.0</v>
      </c>
      <c r="D6" s="5" t="str">
        <f>IFERROR(__xludf.DUMMYFUNCTION("AI(""Écriture
Écriture
Écriture
Écriture
Écriture
Écriture
Écriture
Écriture
Écriture
Écriture
Écriture
Écriture
Écriture
Écriture
Écriture
Écriture
Écriture
Écriture
Écriture
Bureau
Bureau
Bureau
Écriture
Écriture
Écriture
Bureau
Bureau
Écriture
Bureau
É"&amp;"criture
Bureau
Bureau
Papeterie
Bureau
Papeterie
Bureau
Bureau
Papeterie
Papeterie
Papeterie
Écriture
Papeterie
Bureau
Bureau
Bureau
Bureau
Bureau
Bureau
Classement
Bureau
Papeterie
Bureau
Bureau
Bureau
Classement
Bureau
Bureau
Bureau
Bureau
Bureau
Bureau"&amp;"
Bureau
Bureau
Bureau
Bureau
Bureau
Papeterie
Bureau
Consommables
Bureau
Bureau
Consommables
Consommables
Bureau
Consommables
Consommables
Bureau
Bureau
Papeterie
Bureau
Bureau
Bureau
Bureau
Bureau
Bureau
Bureau
Bureau
Bureau
Bureau
Bureau"")"),"Écriture")</f>
        <v>Écriture</v>
      </c>
      <c r="E6" s="5" t="str">
        <f>IFERROR(__xludf.DUMMYFUNCTION("AI(""Armoire D"")"),"Armoire D")</f>
        <v>Armoire D</v>
      </c>
      <c r="F6" s="5" t="str">
        <f>IFERROR(__xludf.DUMMYFUNCTION("AI(""70
42
2
3
14
34
10
10
8
23
8
3
1
1
7
12
29
24
24
4
17
5
4
1
1
8
198
34
9
11
8
11
24
2
31
3
4
12
10
56
21
20
160
100
6
22
21
50
47
1
56
120
2
1
75
270
900g
50g
40
100g
15
1
11
144
10
2
9
44
8
34
32
5
4
15
8
19
40
15
20
35
13
25
25
14
5
18
10
6
4
1
3
1"&amp;"
5 RAM
5 RAM (+1 VRAC)
3 RAM
4 RAM
 1 RAM + 1 VRAC
1 VRAC
1 RAM + 1 VRAC
3 RAM
1 RAM
VRAC
220
3
3
3
3
2
2
3
3
40ml
1
60
40
3
1
2
54
58
5
17
16
200
240
4
9
13
1
180
720
200
16
2
23
140
267
3 RAM
4
4
9
4
2000
21
5
1
2
51
2
10
4 RAM
7
1
3
3
70
91
157
97
92
"&amp;"94
214
34
90
98
174
554
1 596
101
67
22
7
1247
216
20
50
194
146
397
3
1
2
1
1
1
2
1
825
163
12
8
156
101
60
156
40
8
33
19
10
7
8
1
2
5
50
100
50
400
217
50
150
127
4
31
1
1
1
2
3
12
103
3
1
1
3
2
3 tasses 3 sous-coupe 
8
20
2 paires
2
50
2
46
40
4
2
6
4"&amp;"
3
5
9
5
4
120"")"),"3")</f>
        <v>3</v>
      </c>
    </row>
    <row r="7">
      <c r="A7" s="3" t="s">
        <v>16</v>
      </c>
      <c r="B7" s="4" t="s">
        <v>17</v>
      </c>
      <c r="C7" s="4">
        <v>14.0</v>
      </c>
      <c r="D7" s="5" t="str">
        <f>IFERROR(__xludf.DUMMYFUNCTION("AI(""Écriture
Écriture
Écriture
Écriture
Écriture
Écriture
Écriture
Écriture
Écriture
Écriture
Écriture
Écriture
Écriture
Écriture
Écriture
Écriture
Écriture
Écriture
Écriture
Bureau
Bureau
Bureau
Écriture
Écriture
Écriture
Bureau
Bureau
Écriture
Bureau
É"&amp;"criture
Bureau
Bureau
Papeterie
Bureau
Papeterie
Bureau
Bureau
Papeterie
Papeterie
Papeterie
Écriture
Papeterie
Bureau
Bureau
Bureau
Bureau
Bureau
Bureau
Classement
Bureau
Papeterie
Bureau
Bureau
Bureau
Classement
Bureau
Bureau
Bureau
Bureau
Bureau
Bureau"&amp;"
Bureau
Bureau
Bureau
Bureau
Bureau
Papeterie
Bureau
Consommables
Bureau
Bureau
Consommables
Consommables
Bureau
Consommables
Consommables
Bureau
Bureau
Papeterie
Bureau
Bureau
Bureau
Bureau
Bureau
Bureau
Bureau
Bureau
Bureau
Bureau
Bureau"")"),"Écriture")</f>
        <v>Écriture</v>
      </c>
      <c r="E7" s="5" t="str">
        <f>IFERROR(__xludf.DUMMYFUNCTION("AI(""Armoire D"")"),"Armoire D")</f>
        <v>Armoire D</v>
      </c>
      <c r="F7" s="5" t="str">
        <f>IFERROR(__xludf.DUMMYFUNCTION("AI(""70
42
2
3
14
34
10
10
8
23
8
3
1
1
7
12
29
24
24
4
17
5
4
1
1
8
198
34
9
11
8
11
24
2
31
3
4
12
10
56
21
20
160
100
6
22
21
50
47
1
56
120
2
1
75
270
900g
50g
40
100g
15
1
11
144
10
2
9
44
8
34
32
5
4
15
8
19
40
15
20
35
13
25
25
14
5
18
10
6
4
1
3
1"&amp;"
5 RAM
5 RAM (+1 VRAC)
3 RAM
4 RAM
 1 RAM + 1 VRAC
1 VRAC
1 RAM + 1 VRAC
3 RAM
1 RAM
VRAC
220
3
3
3
3
2
2
3
3
40ml
1
60
40
3
1
2
54
58
5
17
16
200
240
4
9
13
1
180
720
200
16
2
23
140
267
3 RAM
4
4
9
4
2000
21
5
1
2
51
2
10
4 RAM
7
1
3
3
70
91
157
97
92
"&amp;"94
214
34
90
98
174
554
1 596
101
67
22
7
1247
216
20
50
194
146
397
3
1
2
1
1
1
2
1
825
163
12
8
156
101
60
156
40
8
33
19
10
7
8
1
2
5
50
100
50
400
217
50
150
127
4
31
1
1
1
2
3
12
103
3
1
1
3
2
3 tasses 3 sous-coupe 
8
20
2 paires
2
50
2
46
40
4
2
6
4"&amp;"
3
5
9
5
4
120"")"),"14")</f>
        <v>14</v>
      </c>
    </row>
    <row r="8">
      <c r="A8" s="3" t="s">
        <v>18</v>
      </c>
      <c r="B8" s="4" t="s">
        <v>19</v>
      </c>
      <c r="C8" s="4">
        <v>34.0</v>
      </c>
      <c r="D8" s="5" t="str">
        <f>IFERROR(__xludf.DUMMYFUNCTION("AI(""Écriture
Écriture
Écriture
Écriture
Écriture
Écriture
Écriture
Écriture
Écriture
Écriture
Écriture
Écriture
Écriture
Écriture
Écriture
Écriture
Écriture
Écriture
Écriture
Bureau
Bureau
Bureau
Écriture
Écriture
Écriture
Bureau
Bureau
Écriture
Bureau
É"&amp;"criture
Bureau
Bureau
Papeterie
Bureau
Papeterie
Bureau
Bureau
Papeterie
Papeterie
Papeterie
Écriture
Papeterie
Bureau
Bureau
Bureau
Bureau
Bureau
Bureau
Classement
Bureau
Papeterie
Bureau
Bureau
Bureau
Classement
Bureau
Bureau
Bureau
Bureau
Bureau
Bureau"&amp;"
Bureau
Bureau
Bureau
Bureau
Bureau
Papeterie
Bureau
Consommables
Bureau
Bureau
Consommables
Consommables
Bureau
Consommables
Consommables
Bureau
Bureau
Papeterie
Bureau
Bureau
Bureau
Bureau
Bureau
Bureau
Bureau
Bureau
Bureau
Bureau
Bureau"")"),"Écriture")</f>
        <v>Écriture</v>
      </c>
      <c r="E8" s="5" t="str">
        <f>IFERROR(__xludf.DUMMYFUNCTION("AI(""Armoire D"")"),"Armoire D")</f>
        <v>Armoire D</v>
      </c>
      <c r="F8" s="5" t="str">
        <f>IFERROR(__xludf.DUMMYFUNCTION("AI(""70
42
2
3
14
34
10
10
8
23
8
3
1
1
7
12
29
24
24
4
17
5
4
1
1
8
198
34
9
11
8
11
24
2
31
3
4
12
10
56
21
20
160
100
6
22
21
50
47
1
56
120
2
1
75
270
900g
50g
40
100g
15
1
11
144
10
2
9
44
8
34
32
5
4
15
8
19
40
15
20
35
13
25
25
14
5
18
10
6
4
1
3
1"&amp;"
5 RAM
5 RAM (+1 VRAC)
3 RAM
4 RAM
 1 RAM + 1 VRAC
1 VRAC
1 RAM + 1 VRAC
3 RAM
1 RAM
VRAC
220
3
3
3
3
2
2
3
3
40ml
1
60
40
3
1
2
54
58
5
17
16
200
240
4
9
13
1
180
720
200
16
2
23
140
267
3 RAM
4
4
9
4
2000
21
5
1
2
51
2
10
4 RAM
7
1
3
3
70
91
157
97
92
"&amp;"94
214
34
90
98
174
554
1 596
101
67
22
7
1247
216
20
50
194
146
397
3
1
2
1
1
1
2
1
825
163
12
8
156
101
60
156
40
8
33
19
10
7
8
1
2
5
50
100
50
400
217
50
150
127
4
31
1
1
1
2
3
12
103
3
1
1
3
2
3 tasses 3 sous-coupe 
8
20
2 paires
2
50
2
46
40
4
2
6
4"&amp;"
3
5
9
5
4
120"")"),"34")</f>
        <v>34</v>
      </c>
    </row>
    <row r="9">
      <c r="A9" s="3" t="s">
        <v>20</v>
      </c>
      <c r="B9" s="4" t="s">
        <v>21</v>
      </c>
      <c r="C9" s="4">
        <v>10.0</v>
      </c>
      <c r="D9" s="5" t="str">
        <f>IFERROR(__xludf.DUMMYFUNCTION("AI(""Écriture
Écriture
Écriture
Écriture
Écriture
Écriture
Écriture
Écriture
Écriture
Écriture
Écriture
Écriture
Écriture
Écriture
Écriture
Écriture
Écriture
Écriture
Écriture
Bureau
Bureau
Bureau
Écriture
Écriture
Écriture
Bureau
Bureau
Écriture
Bureau
É"&amp;"criture
Bureau
Bureau
Papeterie
Bureau
Papeterie
Bureau
Bureau
Papeterie
Papeterie
Papeterie
Écriture
Papeterie
Bureau
Bureau
Bureau
Bureau
Bureau
Bureau
Classement
Bureau
Papeterie
Bureau
Bureau
Bureau
Classement
Bureau
Bureau
Bureau
Bureau
Bureau
Bureau"&amp;"
Bureau
Bureau
Bureau
Bureau
Bureau
Papeterie
Bureau
Consommables
Bureau
Bureau
Consommables
Consommables
Bureau
Consommables
Consommables
Bureau
Bureau
Papeterie
Bureau
Bureau
Bureau
Bureau
Bureau
Bureau
Bureau
Bureau
Bureau
Bureau
Bureau"")"),"Écriture")</f>
        <v>Écriture</v>
      </c>
      <c r="E9" s="5" t="str">
        <f>IFERROR(__xludf.DUMMYFUNCTION("AI(""Armoire D"")"),"Armoire D")</f>
        <v>Armoire D</v>
      </c>
      <c r="F9" s="5" t="str">
        <f>IFERROR(__xludf.DUMMYFUNCTION("AI(""70
42
2
3
14
34
10
10
8
23
8
3
1
1
7
12
29
24
24
4
17
5
4
1
1
8
198
34
9
11
8
11
24
2
31
3
4
12
10
56
21
20
160
100
6
22
21
50
47
1
56
120
2
1
75
270
900g
50g
40
100g
15
1
11
144
10
2
9
44
8
34
32
5
4
15
8
19
40
15
20
35
13
25
25
14
5
18
10
6
4
1
3
1"&amp;"
5 RAM
5 RAM (+1 VRAC)
3 RAM
4 RAM
 1 RAM + 1 VRAC
1 VRAC
1 RAM + 1 VRAC
3 RAM
1 RAM
VRAC
220
3
3
3
3
2
2
3
3
40ml
1
60
40
3
1
2
54
58
5
17
16
200
240
4
9
13
1
180
720
200
16
2
23
140
267
3 RAM
4
4
9
4
2000
21
5
1
2
51
2
10
4 RAM
7
1
3
3
70
91
157
97
92
"&amp;"94
214
34
90
98
174
554
1 596
101
67
22
7
1247
216
20
50
194
146
397
3
1
2
1
1
1
2
1
825
163
12
8
156
101
60
156
40
8
33
19
10
7
8
1
2
5
50
100
50
400
217
50
150
127
4
31
1
1
1
2
3
12
103
3
1
1
3
2
3 tasses 3 sous-coupe 
8
20
2 paires
2
50
2
46
40
4
2
6
4"&amp;"
3
5
9
5
4
120"")"),"10")</f>
        <v>10</v>
      </c>
    </row>
    <row r="10">
      <c r="A10" s="3" t="s">
        <v>22</v>
      </c>
      <c r="B10" s="4" t="s">
        <v>23</v>
      </c>
      <c r="C10" s="4">
        <v>10.0</v>
      </c>
      <c r="D10" s="5" t="str">
        <f>IFERROR(__xludf.DUMMYFUNCTION("AI(""Écriture
Écriture
Écriture
Écriture
Écriture
Écriture
Écriture
Écriture
Écriture
Écriture
Écriture
Écriture
Écriture
Écriture
Écriture
Écriture
Écriture
Écriture
Écriture
Bureau
Bureau
Bureau
Écriture
Écriture
Écriture
Bureau
Bureau
Écriture
Bureau
É"&amp;"criture
Bureau
Bureau
Papeterie
Bureau
Papeterie
Bureau
Bureau
Papeterie
Papeterie
Papeterie
Écriture
Papeterie
Bureau
Bureau
Bureau
Bureau
Bureau
Bureau
Classement
Bureau
Papeterie
Bureau
Bureau
Bureau
Classement
Bureau
Bureau
Bureau
Bureau
Bureau
Bureau"&amp;"
Bureau
Bureau
Bureau
Bureau
Bureau
Papeterie
Bureau
Consommables
Bureau
Bureau
Consommables
Consommables
Bureau
Consommables
Consommables
Bureau
Bureau
Papeterie
Bureau
Bureau
Bureau
Bureau
Bureau
Bureau
Bureau
Bureau
Bureau
Bureau
Bureau"")"),"Écriture")</f>
        <v>Écriture</v>
      </c>
      <c r="E10" s="5" t="str">
        <f>IFERROR(__xludf.DUMMYFUNCTION("AI(""Armoire D"")"),"Armoire D")</f>
        <v>Armoire D</v>
      </c>
      <c r="F10" s="5" t="str">
        <f>IFERROR(__xludf.DUMMYFUNCTION("AI(""70
42
2
3
14
34
10
10
8
23
8
3
1
1
7
12
29
24
24
4
17
5
4
1
1
8
198
34
9
11
8
11
24
2
31
3
4
12
10
56
21
20
160
100
6
22
21
50
47
1
56
120
2
1
75
270
900g
50g
40
100g
15
1
11
144
10
2
9
44
8
34
32
5
4
15
8
19
40
15
20
35
13
25
25
14
5
18
10
6
4
1
3
1"&amp;"
5 RAM
5 RAM (+1 VRAC)
3 RAM
4 RAM
 1 RAM + 1 VRAC
1 VRAC
1 RAM + 1 VRAC
3 RAM
1 RAM
VRAC
220
3
3
3
3
2
2
3
3
40ml
1
60
40
3
1
2
54
58
5
17
16
200
240
4
9
13
1
180
720
200
16
2
23
140
267
3 RAM
4
4
9
4
2000
21
5
1
2
51
2
10
4 RAM
7
1
3
3
70
91
157
97
92
"&amp;"94
214
34
90
98
174
554
1 596
101
67
22
7
1247
216
20
50
194
146
397
3
1
2
1
1
1
2
1
825
163
12
8
156
101
60
156
40
8
33
19
10
7
8
1
2
5
50
100
50
400
217
50
150
127
4
31
1
1
1
2
3
12
103
3
1
1
3
2
3 tasses 3 sous-coupe 
8
20
2 paires
2
50
2
46
40
4
2
6
4"&amp;"
3
5
9
5
4
120"")"),"10")</f>
        <v>10</v>
      </c>
    </row>
    <row r="11">
      <c r="A11" s="3" t="s">
        <v>24</v>
      </c>
      <c r="B11" s="4" t="s">
        <v>25</v>
      </c>
      <c r="C11" s="4">
        <v>8.0</v>
      </c>
      <c r="D11" s="5" t="str">
        <f>IFERROR(__xludf.DUMMYFUNCTION("AI(""Écriture
Écriture
Écriture
Écriture
Écriture
Écriture
Écriture
Écriture
Écriture
Écriture
Écriture
Écriture
Écriture
Écriture
Écriture
Écriture
Écriture
Écriture
Écriture
Bureau
Bureau
Bureau
Écriture
Écriture
Écriture
Bureau
Bureau
Écriture
Bureau
É"&amp;"criture
Bureau
Bureau
Papeterie
Bureau
Papeterie
Bureau
Bureau
Papeterie
Papeterie
Papeterie
Écriture
Papeterie
Bureau
Bureau
Bureau
Bureau
Bureau
Bureau
Classement
Bureau
Papeterie
Bureau
Bureau
Bureau
Classement
Bureau
Bureau
Bureau
Bureau
Bureau
Bureau"&amp;"
Bureau
Bureau
Bureau
Bureau
Bureau
Papeterie
Bureau
Consommables
Bureau
Bureau
Consommables
Consommables
Bureau
Consommables
Consommables
Bureau
Bureau
Papeterie
Bureau
Bureau
Bureau
Bureau
Bureau
Bureau
Bureau
Bureau
Bureau
Bureau
Bureau"")"),"Écriture")</f>
        <v>Écriture</v>
      </c>
      <c r="E11" s="5" t="str">
        <f>IFERROR(__xludf.DUMMYFUNCTION("AI(""Armoire D"")"),"Armoire D")</f>
        <v>Armoire D</v>
      </c>
      <c r="F11" s="5" t="str">
        <f>IFERROR(__xludf.DUMMYFUNCTION("AI(""70
42
2
3
14
34
10
10
8
23
8
3
1
1
7
12
29
24
24
4
17
5
4
1
1
8
198
34
9
11
8
11
24
2
31
3
4
12
10
56
21
20
160
100
6
22
21
50
47
1
56
120
2
1
75
270
900g
50g
40
100g
15
1
11
144
10
2
9
44
8
34
32
5
4
15
8
19
40
15
20
35
13
25
25
14
5
18
10
6
4
1
3
1"&amp;"
5 RAM
5 RAM (+1 VRAC)
3 RAM
4 RAM
 1 RAM + 1 VRAC
1 VRAC
1 RAM + 1 VRAC
3 RAM
1 RAM
VRAC
220
3
3
3
3
2
2
3
3
40ml
1
60
40
3
1
2
54
58
5
17
16
200
240
4
9
13
1
180
720
200
16
2
23
140
267
3 RAM
4
4
9
4
2000
21
5
1
2
51
2
10
4 RAM
7
1
3
3
70
91
157
97
92
"&amp;"94
214
34
90
98
174
554
1 596
101
67
22
7
1247
216
20
50
194
146
397
3
1
2
1
1
1
2
1
825
163
12
8
156
101
60
156
40
8
33
19
10
7
8
1
2
5
50
100
50
400
217
50
150
127
4
31
1
1
1
2
3
12
103
3
1
1
3
2
3 tasses 3 sous-coupe 
8
20
2 paires
2
50
2
46
40
4
2
6
4"&amp;"
3
5
9
5
4
120"")"),"8")</f>
        <v>8</v>
      </c>
    </row>
    <row r="12">
      <c r="A12" s="7" t="s">
        <v>26</v>
      </c>
      <c r="B12" s="4" t="s">
        <v>27</v>
      </c>
      <c r="C12" s="4">
        <v>23.0</v>
      </c>
      <c r="D12" s="5" t="str">
        <f>IFERROR(__xludf.DUMMYFUNCTION("AI(""Écriture
Écriture
Écriture
Écriture
Écriture
Écriture
Écriture
Écriture
Écriture
Écriture
Écriture
Écriture
Écriture
Écriture
Écriture
Écriture
Écriture
Écriture
Écriture
Bureau
Bureau
Bureau
Écriture
Écriture
Écriture
Bureau
Bureau
Écriture
Bureau
É"&amp;"criture
Bureau
Bureau
Papeterie
Bureau
Papeterie
Bureau
Bureau
Papeterie
Papeterie
Papeterie
Écriture
Papeterie
Bureau
Bureau
Bureau
Bureau
Bureau
Bureau
Classement
Bureau
Papeterie
Bureau
Bureau
Bureau
Classement
Bureau
Bureau
Bureau
Bureau
Bureau
Bureau"&amp;"
Bureau
Bureau
Bureau
Bureau
Bureau
Papeterie
Bureau
Consommables
Bureau
Bureau
Consommables
Consommables
Bureau
Consommables
Consommables
Bureau
Bureau
Papeterie
Bureau
Bureau
Bureau
Bureau
Bureau
Bureau
Bureau
Bureau
Bureau
Bureau
Bureau"")"),"Écriture")</f>
        <v>Écriture</v>
      </c>
      <c r="E12" s="5" t="str">
        <f>IFERROR(__xludf.DUMMYFUNCTION("AI(""Armoire D"")"),"Armoire D")</f>
        <v>Armoire D</v>
      </c>
      <c r="F12" s="5" t="str">
        <f>IFERROR(__xludf.DUMMYFUNCTION("AI(""70
42
2
3
14
34
10
10
8
23
8
3
1
1
7
12
29
24
24
4
17
5
4
1
1
8
198
34
9
11
8
11
24
2
31
3
4
12
10
56
21
20
160
100
6
22
21
50
47
1
56
120
2
1
75
270
900g
50g
40
100g
15
1
11
144
10
2
9
44
8
34
32
5
4
15
8
19
40
15
20
35
13
25
25
14
5
18
10
6
4
1
3
1"&amp;"
5 RAM
5 RAM (+1 VRAC)
3 RAM
4 RAM
 1 RAM + 1 VRAC
1 VRAC
1 RAM + 1 VRAC
3 RAM
1 RAM
VRAC
220
3
3
3
3
2
2
3
3
40ml
1
60
40
3
1
2
54
58
5
17
16
200
240
4
9
13
1
180
720
200
16
2
23
140
267
3 RAM
4
4
9
4
2000
21
5
1
2
51
2
10
4 RAM
7
1
3
3
70
91
157
97
92
"&amp;"94
214
34
90
98
174
554
1 596
101
67
22
7
1247
216
20
50
194
146
397
3
1
2
1
1
1
2
1
825
163
12
8
156
101
60
156
40
8
33
19
10
7
8
1
2
5
50
100
50
400
217
50
150
127
4
31
1
1
1
2
3
12
103
3
1
1
3
2
3 tasses 3 sous-coupe 
8
20
2 paires
2
50
2
46
40
4
2
6
4"&amp;"
3
5
9
5
4
120"")"),"23")</f>
        <v>23</v>
      </c>
    </row>
    <row r="13">
      <c r="A13" s="3" t="s">
        <v>28</v>
      </c>
      <c r="B13" s="4" t="s">
        <v>29</v>
      </c>
      <c r="C13" s="4">
        <v>8.0</v>
      </c>
      <c r="D13" s="5" t="str">
        <f>IFERROR(__xludf.DUMMYFUNCTION("AI(""Écriture
Écriture
Écriture
Écriture
Écriture
Écriture
Écriture
Écriture
Écriture
Écriture
Écriture
Écriture
Écriture
Écriture
Écriture
Écriture
Écriture
Écriture
Écriture
Bureau
Bureau
Bureau
Écriture
Écriture
Écriture
Bureau
Bureau
Écriture
Bureau
É"&amp;"criture
Bureau
Bureau
Papeterie
Bureau
Papeterie
Bureau
Bureau
Papeterie
Papeterie
Papeterie
Écriture
Papeterie
Bureau
Bureau
Bureau
Bureau
Bureau
Bureau
Classement
Bureau
Papeterie
Bureau
Bureau
Bureau
Classement
Bureau
Bureau
Bureau
Bureau
Bureau
Bureau"&amp;"
Bureau
Bureau
Bureau
Bureau
Bureau
Papeterie
Bureau
Consommables
Bureau
Bureau
Consommables
Consommables
Bureau
Consommables
Consommables
Bureau
Bureau
Papeterie
Bureau
Bureau
Bureau
Bureau
Bureau
Bureau
Bureau
Bureau
Bureau
Bureau
Bureau"")"),"Écriture")</f>
        <v>Écriture</v>
      </c>
      <c r="E13" s="5" t="str">
        <f>IFERROR(__xludf.DUMMYFUNCTION("AI(""Armoire D"")"),"Armoire D")</f>
        <v>Armoire D</v>
      </c>
      <c r="F13" s="5" t="str">
        <f>IFERROR(__xludf.DUMMYFUNCTION("AI(""70
42
2
3
14
34
10
10
8
23
8
3
1
1
7
12
29
24
24
4
17
5
4
1
1
8
198
34
9
11
8
11
24
2
31
3
4
12
10
56
21
20
160
100
6
22
21
50
47
1
56
120
2
1
75
270
900g
50g
40
100g
15
1
11
144
10
2
9
44
8
34
32
5
4
15
8
19
40
15
20
35
13
25
25
14
5
18
10
6
4
1
3
1"&amp;"
5 RAM
5 RAM (+1 VRAC)
3 RAM
4 RAM
 1 RAM + 1 VRAC
1 VRAC
1 RAM + 1 VRAC
3 RAM
1 RAM
VRAC
220
3
3
3
3
2
2
3
3
40ml
1
60
40
3
1
2
54
58
5
17
16
200
240
4
9
13
1
180
720
200
16
2
23
140
267
3 RAM
4
4
9
4
2000
21
5
1
2
51
2
10
4 RAM
7
1
3
3
70
91
157
97
92
"&amp;"94
214
34
90
98
174
554
1 596
101
67
22
7
1247
216
20
50
194
146
397
3
1
2
1
1
1
2
1
825
163
12
8
156
101
60
156
40
8
33
19
10
7
8
1
2
5
50
100
50
400
217
50
150
127
4
31
1
1
1
2
3
12
103
3
1
1
3
2
3 tasses 3 sous-coupe 
8
20
2 paires
2
50
2
46
40
4
2
6
4"&amp;"
3
5
9
5
4
120"")"),"8")</f>
        <v>8</v>
      </c>
    </row>
    <row r="14">
      <c r="A14" s="3" t="s">
        <v>30</v>
      </c>
      <c r="B14" s="4" t="s">
        <v>31</v>
      </c>
      <c r="C14" s="4">
        <v>3.0</v>
      </c>
      <c r="D14" s="5" t="str">
        <f>IFERROR(__xludf.DUMMYFUNCTION("AI(""Écriture
Écriture
Écriture
Écriture
Écriture
Écriture
Écriture
Écriture
Écriture
Écriture
Écriture
Écriture
Écriture
Écriture
Écriture
Écriture
Écriture
Écriture
Écriture
Bureau
Bureau
Bureau
Écriture
Écriture
Écriture
Bureau
Bureau
Écriture
Bureau
É"&amp;"criture
Bureau
Bureau
Papeterie
Bureau
Papeterie
Bureau
Bureau
Papeterie
Papeterie
Papeterie
Écriture
Papeterie
Bureau
Bureau
Bureau
Bureau
Bureau
Bureau
Classement
Bureau
Papeterie
Bureau
Bureau
Bureau
Classement
Bureau
Bureau
Bureau
Bureau
Bureau
Bureau"&amp;"
Bureau
Bureau
Bureau
Bureau
Bureau
Papeterie
Bureau
Consommables
Bureau
Bureau
Consommables
Consommables
Bureau
Consommables
Consommables
Bureau
Bureau
Papeterie
Bureau
Bureau
Bureau
Bureau
Bureau
Bureau
Bureau
Bureau
Bureau
Bureau
Bureau"")"),"Écriture")</f>
        <v>Écriture</v>
      </c>
      <c r="E14" s="5" t="str">
        <f>IFERROR(__xludf.DUMMYFUNCTION("AI(""Armoire D"")"),"Armoire D")</f>
        <v>Armoire D</v>
      </c>
      <c r="F14" s="5" t="str">
        <f>IFERROR(__xludf.DUMMYFUNCTION("AI(""70
42
2
3
14
34
10
10
8
23
8
3
1
1
7
12
29
24
24
4
17
5
4
1
1
8
198
34
9
11
8
11
24
2
31
3
4
12
10
56
21
20
160
100
6
22
21
50
47
1
56
120
2
1
75
270
900g
50g
40
100g
15
1
11
144
10
2
9
44
8
34
32
5
4
15
8
19
40
15
20
35
13
25
25
14
5
18
10
6
4
1
3
1"&amp;"
5 RAM
5 RAM (+1 VRAC)
3 RAM
4 RAM
 1 RAM + 1 VRAC
1 VRAC
1 RAM + 1 VRAC
3 RAM
1 RAM
VRAC
220
3
3
3
3
2
2
3
3
40ml
1
60
40
3
1
2
54
58
5
17
16
200
240
4
9
13
1
180
720
200
16
2
23
140
267
3 RAM
4
4
9
4
2000
21
5
1
2
51
2
10
4 RAM
7
1
3
3
70
91
157
97
92
"&amp;"94
214
34
90
98
174
554
1 596
101
67
22
7
1247
216
20
50
194
146
397
3
1
2
1
1
1
2
1
825
163
12
8
156
101
60
156
40
8
33
19
10
7
8
1
2
5
50
100
50
400
217
50
150
127
4
31
1
1
1
2
3
12
103
3
1
1
3
2
3 tasses 3 sous-coupe 
8
20
2 paires
2
50
2
46
40
4
2
6
4"&amp;"
3
5
9
5
4
120"")"),"3")</f>
        <v>3</v>
      </c>
    </row>
    <row r="15">
      <c r="A15" s="3" t="s">
        <v>32</v>
      </c>
      <c r="B15" s="4" t="s">
        <v>33</v>
      </c>
      <c r="C15" s="4">
        <v>1.0</v>
      </c>
      <c r="D15" s="5" t="str">
        <f>IFERROR(__xludf.DUMMYFUNCTION("AI(""Écriture
Écriture
Écriture
Écriture
Écriture
Écriture
Écriture
Écriture
Écriture
Écriture
Écriture
Écriture
Écriture
Écriture
Écriture
Écriture
Écriture
Écriture
Écriture
Bureau
Bureau
Bureau
Écriture
Écriture
Écriture
Bureau
Bureau
Écriture
Bureau
É"&amp;"criture
Bureau
Bureau
Papeterie
Bureau
Papeterie
Bureau
Bureau
Papeterie
Papeterie
Papeterie
Écriture
Papeterie
Bureau
Bureau
Bureau
Bureau
Bureau
Bureau
Classement
Bureau
Papeterie
Bureau
Bureau
Bureau
Classement
Bureau
Bureau
Bureau
Bureau
Bureau
Bureau"&amp;"
Bureau
Bureau
Bureau
Bureau
Bureau
Papeterie
Bureau
Consommables
Bureau
Bureau
Consommables
Consommables
Bureau
Consommables
Consommables
Bureau
Bureau
Papeterie
Bureau
Bureau
Bureau
Bureau
Bureau
Bureau
Bureau
Bureau
Bureau
Bureau
Bureau"")"),"Écriture")</f>
        <v>Écriture</v>
      </c>
      <c r="E15" s="5" t="str">
        <f>IFERROR(__xludf.DUMMYFUNCTION("AI(""Armoire D"")"),"Armoire D")</f>
        <v>Armoire D</v>
      </c>
      <c r="F15" s="5" t="str">
        <f>IFERROR(__xludf.DUMMYFUNCTION("AI(""70
42
2
3
14
34
10
10
8
23
8
3
1
1
7
12
29
24
24
4
17
5
4
1
1
8
198
34
9
11
8
11
24
2
31
3
4
12
10
56
21
20
160
100
6
22
21
50
47
1
56
120
2
1
75
270
900g
50g
40
100g
15
1
11
144
10
2
9
44
8
34
32
5
4
15
8
19
40
15
20
35
13
25
25
14
5
18
10
6
4
1
3
1"&amp;"
5 RAM
5 RAM (+1 VRAC)
3 RAM
4 RAM
 1 RAM + 1 VRAC
1 VRAC
1 RAM + 1 VRAC
3 RAM
1 RAM
VRAC
220
3
3
3
3
2
2
3
3
40ml
1
60
40
3
1
2
54
58
5
17
16
200
240
4
9
13
1
180
720
200
16
2
23
140
267
3 RAM
4
4
9
4
2000
21
5
1
2
51
2
10
4 RAM
7
1
3
3
70
91
157
97
92
"&amp;"94
214
34
90
98
174
554
1 596
101
67
22
7
1247
216
20
50
194
146
397
3
1
2
1
1
1
2
1
825
163
12
8
156
101
60
156
40
8
33
19
10
7
8
1
2
5
50
100
50
400
217
50
150
127
4
31
1
1
1
2
3
12
103
3
1
1
3
2
3 tasses 3 sous-coupe 
8
20
2 paires
2
50
2
46
40
4
2
6
4"&amp;"
3
5
9
5
4
120"")"),"1")</f>
        <v>1</v>
      </c>
    </row>
    <row r="16">
      <c r="A16" s="7" t="s">
        <v>34</v>
      </c>
      <c r="B16" s="4" t="s">
        <v>35</v>
      </c>
      <c r="C16" s="4">
        <v>1.0</v>
      </c>
      <c r="D16" s="5" t="str">
        <f>IFERROR(__xludf.DUMMYFUNCTION("AI(""Écriture
Écriture
Écriture
Écriture
Écriture
Écriture
Écriture
Écriture
Écriture
Écriture
Écriture
Écriture
Écriture
Écriture
Écriture
Écriture
Écriture
Écriture
Écriture
Bureau
Bureau
Bureau
Écriture
Écriture
Écriture
Bureau
Bureau
Écriture
Bureau
É"&amp;"criture
Bureau
Bureau
Papeterie
Bureau
Papeterie
Bureau
Bureau
Papeterie
Papeterie
Papeterie
Écriture
Papeterie
Bureau
Bureau
Bureau
Bureau
Bureau
Bureau
Classement
Bureau
Papeterie
Bureau
Bureau
Bureau
Classement
Bureau
Bureau
Bureau
Bureau
Bureau
Bureau"&amp;"
Bureau
Bureau
Bureau
Bureau
Bureau
Papeterie
Bureau
Consommables
Bureau
Bureau
Consommables
Consommables
Bureau
Consommables
Consommables
Bureau
Bureau
Papeterie
Bureau
Bureau
Bureau
Bureau
Bureau
Bureau
Bureau
Bureau
Bureau
Bureau
Bureau"")"),"Écriture")</f>
        <v>Écriture</v>
      </c>
      <c r="E16" s="5" t="str">
        <f>IFERROR(__xludf.DUMMYFUNCTION("AI(""Armoire D"")"),"Armoire D")</f>
        <v>Armoire D</v>
      </c>
      <c r="F16" s="5" t="str">
        <f>IFERROR(__xludf.DUMMYFUNCTION("AI(""70
42
2
3
14
34
10
10
8
23
8
3
1
1
7
12
29
24
24
4
17
5
4
1
1
8
198
34
9
11
8
11
24
2
31
3
4
12
10
56
21
20
160
100
6
22
21
50
47
1
56
120
2
1
75
270
900g
50g
40
100g
15
1
11
144
10
2
9
44
8
34
32
5
4
15
8
19
40
15
20
35
13
25
25
14
5
18
10
6
4
1
3
1"&amp;"
5 RAM
5 RAM (+1 VRAC)
3 RAM
4 RAM
 1 RAM + 1 VRAC
1 VRAC
1 RAM + 1 VRAC
3 RAM
1 RAM
VRAC
220
3
3
3
3
2
2
3
3
40ml
1
60
40
3
1
2
54
58
5
17
16
200
240
4
9
13
1
180
720
200
16
2
23
140
267
3 RAM
4
4
9
4
2000
21
5
1
2
51
2
10
4 RAM
7
1
3
3
70
91
157
97
92
"&amp;"94
214
34
90
98
174
554
1 596
101
67
22
7
1247
216
20
50
194
146
397
3
1
2
1
1
1
2
1
825
163
12
8
156
101
60
156
40
8
33
19
10
7
8
1
2
5
50
100
50
400
217
50
150
127
4
31
1
1
1
2
3
12
103
3
1
1
3
2
3 tasses 3 sous-coupe 
8
20
2 paires
2
50
2
46
40
4
2
6
4"&amp;"
3
5
9
5
4
120"")"),"1")</f>
        <v>1</v>
      </c>
    </row>
    <row r="17">
      <c r="A17" s="7" t="s">
        <v>36</v>
      </c>
      <c r="B17" s="4" t="s">
        <v>37</v>
      </c>
      <c r="C17" s="4">
        <v>7.0</v>
      </c>
      <c r="D17" s="5" t="str">
        <f>IFERROR(__xludf.DUMMYFUNCTION("AI(""Écriture
Écriture
Écriture
Écriture
Écriture
Écriture
Écriture
Écriture
Écriture
Écriture
Écriture
Écriture
Écriture
Écriture
Écriture
Écriture
Écriture
Écriture
Écriture
Bureau
Bureau
Bureau
Écriture
Écriture
Écriture
Bureau
Bureau
Écriture
Bureau
É"&amp;"criture
Bureau
Bureau
Papeterie
Bureau
Papeterie
Bureau
Bureau
Papeterie
Papeterie
Papeterie
Écriture
Papeterie
Bureau
Bureau
Bureau
Bureau
Bureau
Bureau
Classement
Bureau
Papeterie
Bureau
Bureau
Bureau
Classement
Bureau
Bureau
Bureau
Bureau
Bureau
Bureau"&amp;"
Bureau
Bureau
Bureau
Bureau
Bureau
Papeterie
Bureau
Consommables
Bureau
Bureau
Consommables
Consommables
Bureau
Consommables
Consommables
Bureau
Bureau
Papeterie
Bureau
Bureau
Bureau
Bureau
Bureau
Bureau
Bureau
Bureau
Bureau
Bureau
Bureau"")"),"Écriture")</f>
        <v>Écriture</v>
      </c>
      <c r="E17" s="5" t="str">
        <f>IFERROR(__xludf.DUMMYFUNCTION("AI(""Armoire D"")"),"Armoire D")</f>
        <v>Armoire D</v>
      </c>
      <c r="F17" s="5" t="str">
        <f>IFERROR(__xludf.DUMMYFUNCTION("AI(""70
42
2
3
14
34
10
10
8
23
8
3
1
1
7
12
29
24
24
4
17
5
4
1
1
8
198
34
9
11
8
11
24
2
31
3
4
12
10
56
21
20
160
100
6
22
21
50
47
1
56
120
2
1
75
270
900g
50g
40
100g
15
1
11
144
10
2
9
44
8
34
32
5
4
15
8
19
40
15
20
35
13
25
25
14
5
18
10
6
4
1
3
1"&amp;"
5 RAM
5 RAM (+1 VRAC)
3 RAM
4 RAM
 1 RAM + 1 VRAC
1 VRAC
1 RAM + 1 VRAC
3 RAM
1 RAM
VRAC
220
3
3
3
3
2
2
3
3
40ml
1
60
40
3
1
2
54
58
5
17
16
200
240
4
9
13
1
180
720
200
16
2
23
140
267
3 RAM
4
4
9
4
2000
21
5
1
2
51
2
10
4 RAM
7
1
3
3
70
91
157
97
92
"&amp;"94
214
34
90
98
174
554
1 596
101
67
22
7
1247
216
20
50
194
146
397
3
1
2
1
1
1
2
1
825
163
12
8
156
101
60
156
40
8
33
19
10
7
8
1
2
5
50
100
50
400
217
50
150
127
4
31
1
1
1
2
3
12
103
3
1
1
3
2
3 tasses 3 sous-coupe 
8
20
2 paires
2
50
2
46
40
4
2
6
4"&amp;"
3
5
9
5
4
120"")"),"7")</f>
        <v>7</v>
      </c>
    </row>
    <row r="18">
      <c r="A18" s="3" t="s">
        <v>38</v>
      </c>
      <c r="B18" s="4" t="s">
        <v>39</v>
      </c>
      <c r="C18" s="4">
        <v>12.0</v>
      </c>
      <c r="D18" s="5" t="str">
        <f>IFERROR(__xludf.DUMMYFUNCTION("AI(""Écriture
Écriture
Écriture
Écriture
Écriture
Écriture
Écriture
Écriture
Écriture
Écriture
Écriture
Écriture
Écriture
Écriture
Écriture
Écriture
Écriture
Écriture
Écriture
Bureau
Bureau
Bureau
Écriture
Écriture
Écriture
Bureau
Bureau
Écriture
Bureau
É"&amp;"criture
Bureau
Bureau
Papeterie
Bureau
Papeterie
Bureau
Bureau
Papeterie
Papeterie
Papeterie
Écriture
Papeterie
Bureau
Bureau
Bureau
Bureau
Bureau
Bureau
Classement
Bureau
Papeterie
Bureau
Bureau
Bureau
Classement
Bureau
Bureau
Bureau
Bureau
Bureau
Bureau"&amp;"
Bureau
Bureau
Bureau
Bureau
Bureau
Papeterie
Bureau
Consommables
Bureau
Bureau
Consommables
Consommables
Bureau
Consommables
Consommables
Bureau
Bureau
Papeterie
Bureau
Bureau
Bureau
Bureau
Bureau
Bureau
Bureau
Bureau
Bureau
Bureau
Bureau"")"),"Écriture")</f>
        <v>Écriture</v>
      </c>
      <c r="E18" s="5" t="str">
        <f>IFERROR(__xludf.DUMMYFUNCTION("AI(""Armoire D"")"),"Armoire D")</f>
        <v>Armoire D</v>
      </c>
      <c r="F18" s="5" t="str">
        <f>IFERROR(__xludf.DUMMYFUNCTION("AI(""70
42
2
3
14
34
10
10
8
23
8
3
1
1
7
12
29
24
24
4
17
5
4
1
1
8
198
34
9
11
8
11
24
2
31
3
4
12
10
56
21
20
160
100
6
22
21
50
47
1
56
120
2
1
75
270
900g
50g
40
100g
15
1
11
144
10
2
9
44
8
34
32
5
4
15
8
19
40
15
20
35
13
25
25
14
5
18
10
6
4
1
3
1"&amp;"
5 RAM
5 RAM (+1 VRAC)
3 RAM
4 RAM
 1 RAM + 1 VRAC
1 VRAC
1 RAM + 1 VRAC
3 RAM
1 RAM
VRAC
220
3
3
3
3
2
2
3
3
40ml
1
60
40
3
1
2
54
58
5
17
16
200
240
4
9
13
1
180
720
200
16
2
23
140
267
3 RAM
4
4
9
4
2000
21
5
1
2
51
2
10
4 RAM
7
1
3
3
70
91
157
97
92
"&amp;"94
214
34
90
98
174
554
1 596
101
67
22
7
1247
216
20
50
194
146
397
3
1
2
1
1
1
2
1
825
163
12
8
156
101
60
156
40
8
33
19
10
7
8
1
2
5
50
100
50
400
217
50
150
127
4
31
1
1
1
2
3
12
103
3
1
1
3
2
3 tasses 3 sous-coupe 
8
20
2 paires
2
50
2
46
40
4
2
6
4"&amp;"
3
5
9
5
4
120"")"),"12")</f>
        <v>12</v>
      </c>
    </row>
    <row r="19">
      <c r="A19" s="7" t="s">
        <v>40</v>
      </c>
      <c r="B19" s="4" t="s">
        <v>41</v>
      </c>
      <c r="C19" s="4">
        <v>29.0</v>
      </c>
      <c r="D19" s="5" t="str">
        <f>IFERROR(__xludf.DUMMYFUNCTION("AI(""Écriture
Écriture
Écriture
Écriture
Écriture
Écriture
Écriture
Écriture
Écriture
Écriture
Écriture
Écriture
Écriture
Écriture
Écriture
Écriture
Écriture
Écriture
Écriture
Bureau
Bureau
Bureau
Écriture
Écriture
Écriture
Bureau
Bureau
Écriture
Bureau
É"&amp;"criture
Bureau
Bureau
Papeterie
Bureau
Papeterie
Bureau
Bureau
Papeterie
Papeterie
Papeterie
Écriture
Papeterie
Bureau
Bureau
Bureau
Bureau
Bureau
Bureau
Classement
Bureau
Papeterie
Bureau
Bureau
Bureau
Classement
Bureau
Bureau
Bureau
Bureau
Bureau
Bureau"&amp;"
Bureau
Bureau
Bureau
Bureau
Bureau
Papeterie
Bureau
Consommables
Bureau
Bureau
Consommables
Consommables
Bureau
Consommables
Consommables
Bureau
Bureau
Papeterie
Bureau
Bureau
Bureau
Bureau
Bureau
Bureau
Bureau
Bureau
Bureau
Bureau
Bureau"")"),"Écriture")</f>
        <v>Écriture</v>
      </c>
      <c r="E19" s="5" t="str">
        <f>IFERROR(__xludf.DUMMYFUNCTION("AI(""Armoire D"")"),"Armoire D")</f>
        <v>Armoire D</v>
      </c>
      <c r="F19" s="5" t="str">
        <f>IFERROR(__xludf.DUMMYFUNCTION("AI(""70
42
2
3
14
34
10
10
8
23
8
3
1
1
7
12
29
24
24
4
17
5
4
1
1
8
198
34
9
11
8
11
24
2
31
3
4
12
10
56
21
20
160
100
6
22
21
50
47
1
56
120
2
1
75
270
900g
50g
40
100g
15
1
11
144
10
2
9
44
8
34
32
5
4
15
8
19
40
15
20
35
13
25
25
14
5
18
10
6
4
1
3
1"&amp;"
5 RAM
5 RAM (+1 VRAC)
3 RAM
4 RAM
 1 RAM + 1 VRAC
1 VRAC
1 RAM + 1 VRAC
3 RAM
1 RAM
VRAC
220
3
3
3
3
2
2
3
3
40ml
1
60
40
3
1
2
54
58
5
17
16
200
240
4
9
13
1
180
720
200
16
2
23
140
267
3 RAM
4
4
9
4
2000
21
5
1
2
51
2
10
4 RAM
7
1
3
3
70
91
157
97
92
"&amp;"94
214
34
90
98
174
554
1 596
101
67
22
7
1247
216
20
50
194
146
397
3
1
2
1
1
1
2
1
825
163
12
8
156
101
60
156
40
8
33
19
10
7
8
1
2
5
50
100
50
400
217
50
150
127
4
31
1
1
1
2
3
12
103
3
1
1
3
2
3 tasses 3 sous-coupe 
8
20
2 paires
2
50
2
46
40
4
2
6
4"&amp;"
3
5
9
5
4
120"")"),"29")</f>
        <v>29</v>
      </c>
    </row>
    <row r="20">
      <c r="A20" s="3" t="s">
        <v>42</v>
      </c>
      <c r="B20" s="4" t="s">
        <v>43</v>
      </c>
      <c r="C20" s="4">
        <v>24.0</v>
      </c>
      <c r="D20" s="5" t="str">
        <f>IFERROR(__xludf.DUMMYFUNCTION("AI(""Écriture
Écriture
Écriture
Écriture
Écriture
Écriture
Écriture
Écriture
Écriture
Écriture
Écriture
Écriture
Écriture
Écriture
Écriture
Écriture
Écriture
Écriture
Écriture
Bureau
Bureau
Bureau
Écriture
Écriture
Écriture
Bureau
Bureau
Écriture
Bureau
É"&amp;"criture
Bureau
Bureau
Papeterie
Bureau
Papeterie
Bureau
Bureau
Papeterie
Papeterie
Papeterie
Écriture
Papeterie
Bureau
Bureau
Bureau
Bureau
Bureau
Bureau
Classement
Bureau
Papeterie
Bureau
Bureau
Bureau
Classement
Bureau
Bureau
Bureau
Bureau
Bureau
Bureau"&amp;"
Bureau
Bureau
Bureau
Bureau
Bureau
Papeterie
Bureau
Consommables
Bureau
Bureau
Consommables
Consommables
Bureau
Consommables
Consommables
Bureau
Bureau
Papeterie
Bureau
Bureau
Bureau
Bureau
Bureau
Bureau
Bureau
Bureau
Bureau
Bureau
Bureau"")"),"Écriture")</f>
        <v>Écriture</v>
      </c>
      <c r="E20" s="5" t="str">
        <f>IFERROR(__xludf.DUMMYFUNCTION("AI(""Armoire D"")"),"Armoire D")</f>
        <v>Armoire D</v>
      </c>
      <c r="F20" s="5" t="str">
        <f>IFERROR(__xludf.DUMMYFUNCTION("AI(""70
42
2
3
14
34
10
10
8
23
8
3
1
1
7
12
29
24
24
4
17
5
4
1
1
8
198
34
9
11
8
11
24
2
31
3
4
12
10
56
21
20
160
100
6
22
21
50
47
1
56
120
2
1
75
270
900g
50g
40
100g
15
1
11
144
10
2
9
44
8
34
32
5
4
15
8
19
40
15
20
35
13
25
25
14
5
18
10
6
4
1
3
1"&amp;"
5 RAM
5 RAM (+1 VRAC)
3 RAM
4 RAM
 1 RAM + 1 VRAC
1 VRAC
1 RAM + 1 VRAC
3 RAM
1 RAM
VRAC
220
3
3
3
3
2
2
3
3
40ml
1
60
40
3
1
2
54
58
5
17
16
200
240
4
9
13
1
180
720
200
16
2
23
140
267
3 RAM
4
4
9
4
2000
21
5
1
2
51
2
10
4 RAM
7
1
3
3
70
91
157
97
92
"&amp;"94
214
34
90
98
174
554
1 596
101
67
22
7
1247
216
20
50
194
146
397
3
1
2
1
1
1
2
1
825
163
12
8
156
101
60
156
40
8
33
19
10
7
8
1
2
5
50
100
50
400
217
50
150
127
4
31
1
1
1
2
3
12
103
3
1
1
3
2
3 tasses 3 sous-coupe 
8
20
2 paires
2
50
2
46
40
4
2
6
4"&amp;"
3
5
9
5
4
120"")"),"24")</f>
        <v>24</v>
      </c>
    </row>
    <row r="21">
      <c r="A21" s="3" t="s">
        <v>44</v>
      </c>
      <c r="B21" s="4" t="s">
        <v>45</v>
      </c>
      <c r="C21" s="4">
        <v>24.0</v>
      </c>
      <c r="D21" s="5" t="str">
        <f>IFERROR(__xludf.DUMMYFUNCTION("AI(""Écriture
Écriture
Écriture
Écriture
Écriture
Écriture
Écriture
Écriture
Écriture
Écriture
Écriture
Écriture
Écriture
Écriture
Écriture
Écriture
Écriture
Écriture
Écriture
Bureau
Bureau
Bureau
Écriture
Écriture
Écriture
Bureau
Bureau
Écriture
Bureau
É"&amp;"criture
Bureau
Bureau
Papeterie
Bureau
Papeterie
Bureau
Bureau
Papeterie
Papeterie
Papeterie
Écriture
Papeterie
Bureau
Bureau
Bureau
Bureau
Bureau
Bureau
Classement
Bureau
Papeterie
Bureau
Bureau
Bureau
Classement
Bureau
Bureau
Bureau
Bureau
Bureau
Bureau"&amp;"
Bureau
Bureau
Bureau
Bureau
Bureau
Papeterie
Bureau
Consommables
Bureau
Bureau
Consommables
Consommables
Bureau
Consommables
Consommables
Bureau
Bureau
Papeterie
Bureau
Bureau
Bureau
Bureau
Bureau
Bureau
Bureau
Bureau
Bureau
Bureau
Bureau"")"),"Écriture")</f>
        <v>Écriture</v>
      </c>
      <c r="E21" s="5" t="str">
        <f>IFERROR(__xludf.DUMMYFUNCTION("AI(""Armoire D"")"),"Armoire D")</f>
        <v>Armoire D</v>
      </c>
      <c r="F21" s="5" t="str">
        <f>IFERROR(__xludf.DUMMYFUNCTION("AI(""70
42
2
3
14
34
10
10
8
23
8
3
1
1
7
12
29
24
24
4
17
5
4
1
1
8
198
34
9
11
8
11
24
2
31
3
4
12
10
56
21
20
160
100
6
22
21
50
47
1
56
120
2
1
75
270
900g
50g
40
100g
15
1
11
144
10
2
9
44
8
34
32
5
4
15
8
19
40
15
20
35
13
25
25
14
5
18
10
6
4
1
3
1"&amp;"
5 RAM
5 RAM (+1 VRAC)
3 RAM
4 RAM
 1 RAM + 1 VRAC
1 VRAC
1 RAM + 1 VRAC
3 RAM
1 RAM
VRAC
220
3
3
3
3
2
2
3
3
40ml
1
60
40
3
1
2
54
58
5
17
16
200
240
4
9
13
1
180
720
200
16
2
23
140
267
3 RAM
4
4
9
4
2000
21
5
1
2
51
2
10
4 RAM
7
1
3
3
70
91
157
97
92
"&amp;"94
214
34
90
98
174
554
1 596
101
67
22
7
1247
216
20
50
194
146
397
3
1
2
1
1
1
2
1
825
163
12
8
156
101
60
156
40
8
33
19
10
7
8
1
2
5
50
100
50
400
217
50
150
127
4
31
1
1
1
2
3
12
103
3
1
1
3
2
3 tasses 3 sous-coupe 
8
20
2 paires
2
50
2
46
40
4
2
6
4"&amp;"
3
5
9
5
4
120"")"),"24")</f>
        <v>24</v>
      </c>
    </row>
    <row r="22">
      <c r="A22" s="3" t="s">
        <v>46</v>
      </c>
      <c r="B22" s="4" t="s">
        <v>47</v>
      </c>
      <c r="C22" s="4">
        <v>4.0</v>
      </c>
      <c r="D22" s="5" t="str">
        <f>IFERROR(__xludf.DUMMYFUNCTION("AI(""Écriture
Écriture
Écriture
Écriture
Écriture
Écriture
Écriture
Écriture
Écriture
Écriture
Écriture
Écriture
Écriture
Écriture
Écriture
Écriture
Écriture
Écriture
Écriture
Bureau
Bureau
Bureau
Écriture
Écriture
Écriture
Bureau
Bureau
Écriture
Bureau
É"&amp;"criture
Bureau
Bureau
Papeterie
Bureau
Papeterie
Bureau
Bureau
Papeterie
Papeterie
Papeterie
Écriture
Papeterie
Bureau
Bureau
Bureau
Bureau
Bureau
Bureau
Classement
Bureau
Papeterie
Bureau
Bureau
Bureau
Classement
Bureau
Bureau
Bureau
Bureau
Bureau
Bureau"&amp;"
Bureau
Bureau
Bureau
Bureau
Bureau
Papeterie
Bureau
Consommables
Bureau
Bureau
Consommables
Consommables
Bureau
Consommables
Consommables
Bureau
Bureau
Papeterie
Bureau
Bureau
Bureau
Bureau
Bureau
Bureau
Bureau
Bureau
Bureau
Bureau
Bureau"")"),"Bureau")</f>
        <v>Bureau</v>
      </c>
      <c r="E22" s="5" t="str">
        <f>IFERROR(__xludf.DUMMYFUNCTION("AI(""Armoire D"")"),"Armoire D")</f>
        <v>Armoire D</v>
      </c>
      <c r="F22" s="5" t="str">
        <f>IFERROR(__xludf.DUMMYFUNCTION("AI(""70
42
2
3
14
34
10
10
8
23
8
3
1
1
7
12
29
24
24
4
17
5
4
1
1
8
198
34
9
11
8
11
24
2
31
3
4
12
10
56
21
20
160
100
6
22
21
50
47
1
56
120
2
1
75
270
900g
50g
40
100g
15
1
11
144
10
2
9
44
8
34
32
5
4
15
8
19
40
15
20
35
13
25
25
14
5
18
10
6
4
1
3
1"&amp;"
5 RAM
5 RAM (+1 VRAC)
3 RAM
4 RAM
 1 RAM + 1 VRAC
1 VRAC
1 RAM + 1 VRAC
3 RAM
1 RAM
VRAC
220
3
3
3
3
2
2
3
3
40ml
1
60
40
3
1
2
54
58
5
17
16
200
240
4
9
13
1
180
720
200
16
2
23
140
267
3 RAM
4
4
9
4
2000
21
5
1
2
51
2
10
4 RAM
7
1
3
3
70
91
157
97
92
"&amp;"94
214
34
90
98
174
554
1 596
101
67
22
7
1247
216
20
50
194
146
397
3
1
2
1
1
1
2
1
825
163
12
8
156
101
60
156
40
8
33
19
10
7
8
1
2
5
50
100
50
400
217
50
150
127
4
31
1
1
1
2
3
12
103
3
1
1
3
2
3 tasses 3 sous-coupe 
8
20
2 paires
2
50
2
46
40
4
2
6
4"&amp;"
3
5
9
5
4
120"")"),"4")</f>
        <v>4</v>
      </c>
    </row>
    <row r="23">
      <c r="A23" s="3" t="s">
        <v>48</v>
      </c>
      <c r="B23" s="8" t="s">
        <v>49</v>
      </c>
      <c r="C23" s="4">
        <v>17.0</v>
      </c>
      <c r="D23" s="5" t="str">
        <f>IFERROR(__xludf.DUMMYFUNCTION("AI(""Écriture
Écriture
Écriture
Écriture
Écriture
Écriture
Écriture
Écriture
Écriture
Écriture
Écriture
Écriture
Écriture
Écriture
Écriture
Écriture
Écriture
Écriture
Écriture
Bureau
Bureau
Bureau
Écriture
Écriture
Écriture
Bureau
Bureau
Écriture
Bureau
É"&amp;"criture
Bureau
Bureau
Papeterie
Bureau
Papeterie
Bureau
Bureau
Papeterie
Papeterie
Papeterie
Écriture
Papeterie
Bureau
Bureau
Bureau
Bureau
Bureau
Bureau
Classement
Bureau
Papeterie
Bureau
Bureau
Bureau
Classement
Bureau
Bureau
Bureau
Bureau
Bureau
Bureau"&amp;"
Bureau
Bureau
Bureau
Bureau
Bureau
Papeterie
Bureau
Consommables
Bureau
Bureau
Consommables
Consommables
Bureau
Consommables
Consommables
Bureau
Bureau
Papeterie
Bureau
Bureau
Bureau
Bureau
Bureau
Bureau
Bureau
Bureau
Bureau
Bureau
Bureau"")"),"Bureau")</f>
        <v>Bureau</v>
      </c>
      <c r="E23" s="5" t="str">
        <f>IFERROR(__xludf.DUMMYFUNCTION("AI(""Armoire D"")"),"Armoire D")</f>
        <v>Armoire D</v>
      </c>
      <c r="F23" s="5" t="str">
        <f>IFERROR(__xludf.DUMMYFUNCTION("AI(""70
42
2
3
14
34
10
10
8
23
8
3
1
1
7
12
29
24
24
4
17
5
4
1
1
8
198
34
9
11
8
11
24
2
31
3
4
12
10
56
21
20
160
100
6
22
21
50
47
1
56
120
2
1
75
270
900g
50g
40
100g
15
1
11
144
10
2
9
44
8
34
32
5
4
15
8
19
40
15
20
35
13
25
25
14
5
18
10
6
4
1
3
1"&amp;"
5 RAM
5 RAM (+1 VRAC)
3 RAM
4 RAM
 1 RAM + 1 VRAC
1 VRAC
1 RAM + 1 VRAC
3 RAM
1 RAM
VRAC
220
3
3
3
3
2
2
3
3
40ml
1
60
40
3
1
2
54
58
5
17
16
200
240
4
9
13
1
180
720
200
16
2
23
140
267
3 RAM
4
4
9
4
2000
21
5
1
2
51
2
10
4 RAM
7
1
3
3
70
91
157
97
92
"&amp;"94
214
34
90
98
174
554
1 596
101
67
22
7
1247
216
20
50
194
146
397
3
1
2
1
1
1
2
1
825
163
12
8
156
101
60
156
40
8
33
19
10
7
8
1
2
5
50
100
50
400
217
50
150
127
4
31
1
1
1
2
3
12
103
3
1
1
3
2
3 tasses 3 sous-coupe 
8
20
2 paires
2
50
2
46
40
4
2
6
4"&amp;"
3
5
9
5
4
120"")"),"17")</f>
        <v>17</v>
      </c>
    </row>
    <row r="24">
      <c r="A24" s="3" t="s">
        <v>50</v>
      </c>
      <c r="B24" s="4" t="s">
        <v>51</v>
      </c>
      <c r="C24" s="4">
        <v>5.0</v>
      </c>
      <c r="D24" s="5" t="str">
        <f>IFERROR(__xludf.DUMMYFUNCTION("AI(""Écriture
Écriture
Écriture
Écriture
Écriture
Écriture
Écriture
Écriture
Écriture
Écriture
Écriture
Écriture
Écriture
Écriture
Écriture
Écriture
Écriture
Écriture
Écriture
Bureau
Bureau
Bureau
Écriture
Écriture
Écriture
Bureau
Bureau
Écriture
Bureau
É"&amp;"criture
Bureau
Bureau
Papeterie
Bureau
Papeterie
Bureau
Bureau
Papeterie
Papeterie
Papeterie
Écriture
Papeterie
Bureau
Bureau
Bureau
Bureau
Bureau
Bureau
Classement
Bureau
Papeterie
Bureau
Bureau
Bureau
Classement
Bureau
Bureau
Bureau
Bureau
Bureau
Bureau"&amp;"
Bureau
Bureau
Bureau
Bureau
Bureau
Papeterie
Bureau
Consommables
Bureau
Bureau
Consommables
Consommables
Bureau
Consommables
Consommables
Bureau
Bureau
Papeterie
Bureau
Bureau
Bureau
Bureau
Bureau
Bureau
Bureau
Bureau
Bureau
Bureau
Bureau"")"),"Bureau")</f>
        <v>Bureau</v>
      </c>
      <c r="E24" s="5" t="str">
        <f>IFERROR(__xludf.DUMMYFUNCTION("AI(""Armoire D"")"),"Armoire D")</f>
        <v>Armoire D</v>
      </c>
      <c r="F24" s="5" t="str">
        <f>IFERROR(__xludf.DUMMYFUNCTION("AI(""70
42
2
3
14
34
10
10
8
23
8
3
1
1
7
12
29
24
24
4
17
5
4
1
1
8
198
34
9
11
8
11
24
2
31
3
4
12
10
56
21
20
160
100
6
22
21
50
47
1
56
120
2
1
75
270
900g
50g
40
100g
15
1
11
144
10
2
9
44
8
34
32
5
4
15
8
19
40
15
20
35
13
25
25
14
5
18
10
6
4
1
3
1"&amp;"
5 RAM
5 RAM (+1 VRAC)
3 RAM
4 RAM
 1 RAM + 1 VRAC
1 VRAC
1 RAM + 1 VRAC
3 RAM
1 RAM
VRAC
220
3
3
3
3
2
2
3
3
40ml
1
60
40
3
1
2
54
58
5
17
16
200
240
4
9
13
1
180
720
200
16
2
23
140
267
3 RAM
4
4
9
4
2000
21
5
1
2
51
2
10
4 RAM
7
1
3
3
70
91
157
97
92
"&amp;"94
214
34
90
98
174
554
1 596
101
67
22
7
1247
216
20
50
194
146
397
3
1
2
1
1
1
2
1
825
163
12
8
156
101
60
156
40
8
33
19
10
7
8
1
2
5
50
100
50
400
217
50
150
127
4
31
1
1
1
2
3
12
103
3
1
1
3
2
3 tasses 3 sous-coupe 
8
20
2 paires
2
50
2
46
40
4
2
6
4"&amp;"
3
5
9
5
4
120"")"),"5")</f>
        <v>5</v>
      </c>
    </row>
    <row r="25">
      <c r="A25" s="3" t="s">
        <v>52</v>
      </c>
      <c r="B25" s="4" t="s">
        <v>53</v>
      </c>
      <c r="C25" s="4">
        <v>4.0</v>
      </c>
      <c r="D25" s="5" t="str">
        <f>IFERROR(__xludf.DUMMYFUNCTION("AI(""Écriture
Écriture
Écriture
Écriture
Écriture
Écriture
Écriture
Écriture
Écriture
Écriture
Écriture
Écriture
Écriture
Écriture
Écriture
Écriture
Écriture
Écriture
Écriture
Bureau
Bureau
Bureau
Écriture
Écriture
Écriture
Bureau
Bureau
Écriture
Bureau
É"&amp;"criture
Bureau
Bureau
Papeterie
Bureau
Papeterie
Bureau
Bureau
Papeterie
Papeterie
Papeterie
Écriture
Papeterie
Bureau
Bureau
Bureau
Bureau
Bureau
Bureau
Classement
Bureau
Papeterie
Bureau
Bureau
Bureau
Classement
Bureau
Bureau
Bureau
Bureau
Bureau
Bureau"&amp;"
Bureau
Bureau
Bureau
Bureau
Bureau
Papeterie
Bureau
Consommables
Bureau
Bureau
Consommables
Consommables
Bureau
Consommables
Consommables
Bureau
Bureau
Papeterie
Bureau
Bureau
Bureau
Bureau
Bureau
Bureau
Bureau
Bureau
Bureau
Bureau
Bureau"")"),"Écriture")</f>
        <v>Écriture</v>
      </c>
      <c r="E25" s="5" t="str">
        <f>IFERROR(__xludf.DUMMYFUNCTION("AI(""Armoire D"")"),"Armoire D")</f>
        <v>Armoire D</v>
      </c>
      <c r="F25" s="5" t="str">
        <f>IFERROR(__xludf.DUMMYFUNCTION("AI(""70
42
2
3
14
34
10
10
8
23
8
3
1
1
7
12
29
24
24
4
17
5
4
1
1
8
198
34
9
11
8
11
24
2
31
3
4
12
10
56
21
20
160
100
6
22
21
50
47
1
56
120
2
1
75
270
900g
50g
40
100g
15
1
11
144
10
2
9
44
8
34
32
5
4
15
8
19
40
15
20
35
13
25
25
14
5
18
10
6
4
1
3
1"&amp;"
5 RAM
5 RAM (+1 VRAC)
3 RAM
4 RAM
 1 RAM + 1 VRAC
1 VRAC
1 RAM + 1 VRAC
3 RAM
1 RAM
VRAC
220
3
3
3
3
2
2
3
3
40ml
1
60
40
3
1
2
54
58
5
17
16
200
240
4
9
13
1
180
720
200
16
2
23
140
267
3 RAM
4
4
9
4
2000
21
5
1
2
51
2
10
4 RAM
7
1
3
3
70
91
157
97
92
"&amp;"94
214
34
90
98
174
554
1 596
101
67
22
7
1247
216
20
50
194
146
397
3
1
2
1
1
1
2
1
825
163
12
8
156
101
60
156
40
8
33
19
10
7
8
1
2
5
50
100
50
400
217
50
150
127
4
31
1
1
1
2
3
12
103
3
1
1
3
2
3 tasses 3 sous-coupe 
8
20
2 paires
2
50
2
46
40
4
2
6
4"&amp;"
3
5
9
5
4
120"")"),"4")</f>
        <v>4</v>
      </c>
    </row>
    <row r="26">
      <c r="A26" s="3" t="s">
        <v>54</v>
      </c>
      <c r="B26" s="4" t="s">
        <v>55</v>
      </c>
      <c r="C26" s="4">
        <v>1.0</v>
      </c>
      <c r="D26" s="5" t="str">
        <f>IFERROR(__xludf.DUMMYFUNCTION("AI(""Écriture
Écriture
Écriture
Écriture
Écriture
Écriture
Écriture
Écriture
Écriture
Écriture
Écriture
Écriture
Écriture
Écriture
Écriture
Écriture
Écriture
Écriture
Écriture
Bureau
Bureau
Bureau
Écriture
Écriture
Écriture
Bureau
Bureau
Écriture
Bureau
É"&amp;"criture
Bureau
Bureau
Papeterie
Bureau
Papeterie
Bureau
Bureau
Papeterie
Papeterie
Papeterie
Écriture
Papeterie
Bureau
Bureau
Bureau
Bureau
Bureau
Bureau
Classement
Bureau
Papeterie
Bureau
Bureau
Bureau
Classement
Bureau
Bureau
Bureau
Bureau
Bureau
Bureau"&amp;"
Bureau
Bureau
Bureau
Bureau
Bureau
Papeterie
Bureau
Consommables
Bureau
Bureau
Consommables
Consommables
Bureau
Consommables
Consommables
Bureau
Bureau
Papeterie
Bureau
Bureau
Bureau
Bureau
Bureau
Bureau
Bureau
Bureau
Bureau
Bureau
Bureau"")"),"Écriture")</f>
        <v>Écriture</v>
      </c>
      <c r="E26" s="5" t="str">
        <f>IFERROR(__xludf.DUMMYFUNCTION("AI(""Armoire D"")"),"Armoire D")</f>
        <v>Armoire D</v>
      </c>
      <c r="F26" s="5" t="str">
        <f>IFERROR(__xludf.DUMMYFUNCTION("AI(""70
42
2
3
14
34
10
10
8
23
8
3
1
1
7
12
29
24
24
4
17
5
4
1
1
8
198
34
9
11
8
11
24
2
31
3
4
12
10
56
21
20
160
100
6
22
21
50
47
1
56
120
2
1
75
270
900g
50g
40
100g
15
1
11
144
10
2
9
44
8
34
32
5
4
15
8
19
40
15
20
35
13
25
25
14
5
18
10
6
4
1
3
1"&amp;"
5 RAM
5 RAM (+1 VRAC)
3 RAM
4 RAM
 1 RAM + 1 VRAC
1 VRAC
1 RAM + 1 VRAC
3 RAM
1 RAM
VRAC
220
3
3
3
3
2
2
3
3
40ml
1
60
40
3
1
2
54
58
5
17
16
200
240
4
9
13
1
180
720
200
16
2
23
140
267
3 RAM
4
4
9
4
2000
21
5
1
2
51
2
10
4 RAM
7
1
3
3
70
91
157
97
92
"&amp;"94
214
34
90
98
174
554
1 596
101
67
22
7
1247
216
20
50
194
146
397
3
1
2
1
1
1
2
1
825
163
12
8
156
101
60
156
40
8
33
19
10
7
8
1
2
5
50
100
50
400
217
50
150
127
4
31
1
1
1
2
3
12
103
3
1
1
3
2
3 tasses 3 sous-coupe 
8
20
2 paires
2
50
2
46
40
4
2
6
4"&amp;"
3
5
9
5
4
120"")"),"1")</f>
        <v>1</v>
      </c>
    </row>
    <row r="27">
      <c r="A27" s="3" t="s">
        <v>56</v>
      </c>
      <c r="B27" s="4" t="s">
        <v>57</v>
      </c>
      <c r="C27" s="4">
        <v>1.0</v>
      </c>
      <c r="D27" s="5" t="str">
        <f>IFERROR(__xludf.DUMMYFUNCTION("AI(""Écriture
Écriture
Écriture
Écriture
Écriture
Écriture
Écriture
Écriture
Écriture
Écriture
Écriture
Écriture
Écriture
Écriture
Écriture
Écriture
Écriture
Écriture
Écriture
Bureau
Bureau
Bureau
Écriture
Écriture
Écriture
Bureau
Bureau
Écriture
Bureau
É"&amp;"criture
Bureau
Bureau
Papeterie
Bureau
Papeterie
Bureau
Bureau
Papeterie
Papeterie
Papeterie
Écriture
Papeterie
Bureau
Bureau
Bureau
Bureau
Bureau
Bureau
Classement
Bureau
Papeterie
Bureau
Bureau
Bureau
Classement
Bureau
Bureau
Bureau
Bureau
Bureau
Bureau"&amp;"
Bureau
Bureau
Bureau
Bureau
Bureau
Papeterie
Bureau
Consommables
Bureau
Bureau
Consommables
Consommables
Bureau
Consommables
Consommables
Bureau
Bureau
Papeterie
Bureau
Bureau
Bureau
Bureau
Bureau
Bureau
Bureau
Bureau
Bureau
Bureau
Bureau"")"),"Écriture")</f>
        <v>Écriture</v>
      </c>
      <c r="E27" s="5" t="str">
        <f>IFERROR(__xludf.DUMMYFUNCTION("AI(""Armoire D"")"),"Armoire D")</f>
        <v>Armoire D</v>
      </c>
      <c r="F27" s="5" t="str">
        <f>IFERROR(__xludf.DUMMYFUNCTION("AI(""70
42
2
3
14
34
10
10
8
23
8
3
1
1
7
12
29
24
24
4
17
5
4
1
1
8
198
34
9
11
8
11
24
2
31
3
4
12
10
56
21
20
160
100
6
22
21
50
47
1
56
120
2
1
75
270
900g
50g
40
100g
15
1
11
144
10
2
9
44
8
34
32
5
4
15
8
19
40
15
20
35
13
25
25
14
5
18
10
6
4
1
3
1"&amp;"
5 RAM
5 RAM (+1 VRAC)
3 RAM
4 RAM
 1 RAM + 1 VRAC
1 VRAC
1 RAM + 1 VRAC
3 RAM
1 RAM
VRAC
220
3
3
3
3
2
2
3
3
40ml
1
60
40
3
1
2
54
58
5
17
16
200
240
4
9
13
1
180
720
200
16
2
23
140
267
3 RAM
4
4
9
4
2000
21
5
1
2
51
2
10
4 RAM
7
1
3
3
70
91
157
97
92
"&amp;"94
214
34
90
98
174
554
1 596
101
67
22
7
1247
216
20
50
194
146
397
3
1
2
1
1
1
2
1
825
163
12
8
156
101
60
156
40
8
33
19
10
7
8
1
2
5
50
100
50
400
217
50
150
127
4
31
1
1
1
2
3
12
103
3
1
1
3
2
3 tasses 3 sous-coupe 
8
20
2 paires
2
50
2
46
40
4
2
6
4"&amp;"
3
5
9
5
4
120"")"),"1")</f>
        <v>1</v>
      </c>
    </row>
    <row r="28">
      <c r="A28" s="7" t="s">
        <v>58</v>
      </c>
      <c r="B28" s="4" t="s">
        <v>59</v>
      </c>
      <c r="C28" s="4">
        <v>8.0</v>
      </c>
      <c r="D28" s="5" t="str">
        <f>IFERROR(__xludf.DUMMYFUNCTION("AI(""Écriture
Écriture
Écriture
Écriture
Écriture
Écriture
Écriture
Écriture
Écriture
Écriture
Écriture
Écriture
Écriture
Écriture
Écriture
Écriture
Écriture
Écriture
Écriture
Bureau
Bureau
Bureau
Écriture
Écriture
Écriture
Bureau
Bureau
Écriture
Bureau
É"&amp;"criture
Bureau
Bureau
Papeterie
Bureau
Papeterie
Bureau
Bureau
Papeterie
Papeterie
Papeterie
Écriture
Papeterie
Bureau
Bureau
Bureau
Bureau
Bureau
Bureau
Classement
Bureau
Papeterie
Bureau
Bureau
Bureau
Classement
Bureau
Bureau
Bureau
Bureau
Bureau
Bureau"&amp;"
Bureau
Bureau
Bureau
Bureau
Bureau
Papeterie
Bureau
Consommables
Bureau
Bureau
Consommables
Consommables
Bureau
Consommables
Consommables
Bureau
Bureau
Papeterie
Bureau
Bureau
Bureau
Bureau
Bureau
Bureau
Bureau
Bureau
Bureau
Bureau
Bureau"")"),"Bureau")</f>
        <v>Bureau</v>
      </c>
      <c r="E28" s="5" t="str">
        <f>IFERROR(__xludf.DUMMYFUNCTION("AI(""Armoire D"")"),"Armoire D")</f>
        <v>Armoire D</v>
      </c>
      <c r="F28" s="5" t="str">
        <f>IFERROR(__xludf.DUMMYFUNCTION("AI(""70
42
2
3
14
34
10
10
8
23
8
3
1
1
7
12
29
24
24
4
17
5
4
1
1
8
198
34
9
11
8
11
24
2
31
3
4
12
10
56
21
20
160
100
6
22
21
50
47
1
56
120
2
1
75
270
900g
50g
40
100g
15
1
11
144
10
2
9
44
8
34
32
5
4
15
8
19
40
15
20
35
13
25
25
14
5
18
10
6
4
1
3
1"&amp;"
5 RAM
5 RAM (+1 VRAC)
3 RAM
4 RAM
 1 RAM + 1 VRAC
1 VRAC
1 RAM + 1 VRAC
3 RAM
1 RAM
VRAC
220
3
3
3
3
2
2
3
3
40ml
1
60
40
3
1
2
54
58
5
17
16
200
240
4
9
13
1
180
720
200
16
2
23
140
267
3 RAM
4
4
9
4
2000
21
5
1
2
51
2
10
4 RAM
7
1
3
3
70
91
157
97
92
"&amp;"94
214
34
90
98
174
554
1 596
101
67
22
7
1247
216
20
50
194
146
397
3
1
2
1
1
1
2
1
825
163
12
8
156
101
60
156
40
8
33
19
10
7
8
1
2
5
50
100
50
400
217
50
150
127
4
31
1
1
1
2
3
12
103
3
1
1
3
2
3 tasses 3 sous-coupe 
8
20
2 paires
2
50
2
46
40
4
2
6
4"&amp;"
3
5
9
5
4
120"")"),"8")</f>
        <v>8</v>
      </c>
    </row>
    <row r="29">
      <c r="A29" s="3" t="s">
        <v>60</v>
      </c>
      <c r="B29" s="4" t="s">
        <v>61</v>
      </c>
      <c r="C29" s="4">
        <v>198.0</v>
      </c>
      <c r="D29" s="5" t="str">
        <f>IFERROR(__xludf.DUMMYFUNCTION("AI(""Écriture
Écriture
Écriture
Écriture
Écriture
Écriture
Écriture
Écriture
Écriture
Écriture
Écriture
Écriture
Écriture
Écriture
Écriture
Écriture
Écriture
Écriture
Écriture
Bureau
Bureau
Bureau
Écriture
Écriture
Écriture
Bureau
Bureau
Écriture
Bureau
É"&amp;"criture
Bureau
Bureau
Papeterie
Bureau
Papeterie
Bureau
Bureau
Papeterie
Papeterie
Papeterie
Écriture
Papeterie
Bureau
Bureau
Bureau
Bureau
Bureau
Bureau
Classement
Bureau
Papeterie
Bureau
Bureau
Bureau
Classement
Bureau
Bureau
Bureau
Bureau
Bureau
Bureau"&amp;"
Bureau
Bureau
Bureau
Bureau
Bureau
Papeterie
Bureau
Consommables
Bureau
Bureau
Consommables
Consommables
Bureau
Consommables
Consommables
Bureau
Bureau
Papeterie
Bureau
Bureau
Bureau
Bureau
Bureau
Bureau
Bureau
Bureau
Bureau
Bureau
Bureau"")"),"Bureau")</f>
        <v>Bureau</v>
      </c>
      <c r="E29" s="5" t="str">
        <f>IFERROR(__xludf.DUMMYFUNCTION("AI(""Armoire D"")"),"Armoire D")</f>
        <v>Armoire D</v>
      </c>
      <c r="F29" s="5" t="str">
        <f>IFERROR(__xludf.DUMMYFUNCTION("AI(""70
42
2
3
14
34
10
10
8
23
8
3
1
1
7
12
29
24
24
4
17
5
4
1
1
8
198
34
9
11
8
11
24
2
31
3
4
12
10
56
21
20
160
100
6
22
21
50
47
1
56
120
2
1
75
270
900g
50g
40
100g
15
1
11
144
10
2
9
44
8
34
32
5
4
15
8
19
40
15
20
35
13
25
25
14
5
18
10
6
4
1
3
1"&amp;"
5 RAM
5 RAM (+1 VRAC)
3 RAM
4 RAM
 1 RAM + 1 VRAC
1 VRAC
1 RAM + 1 VRAC
3 RAM
1 RAM
VRAC
220
3
3
3
3
2
2
3
3
40ml
1
60
40
3
1
2
54
58
5
17
16
200
240
4
9
13
1
180
720
200
16
2
23
140
267
3 RAM
4
4
9
4
2000
21
5
1
2
51
2
10
4 RAM
7
1
3
3
70
91
157
97
92
"&amp;"94
214
34
90
98
174
554
1 596
101
67
22
7
1247
216
20
50
194
146
397
3
1
2
1
1
1
2
1
825
163
12
8
156
101
60
156
40
8
33
19
10
7
8
1
2
5
50
100
50
400
217
50
150
127
4
31
1
1
1
2
3
12
103
3
1
1
3
2
3 tasses 3 sous-coupe 
8
20
2 paires
2
50
2
46
40
4
2
6
4"&amp;"
3
5
9
5
4
120"")"),"198")</f>
        <v>198</v>
      </c>
    </row>
    <row r="30">
      <c r="A30" s="3" t="s">
        <v>62</v>
      </c>
      <c r="B30" s="4" t="s">
        <v>63</v>
      </c>
      <c r="C30" s="4">
        <v>34.0</v>
      </c>
      <c r="D30" s="5" t="str">
        <f>IFERROR(__xludf.DUMMYFUNCTION("AI(""Écriture
Écriture
Écriture
Écriture
Écriture
Écriture
Écriture
Écriture
Écriture
Écriture
Écriture
Écriture
Écriture
Écriture
Écriture
Écriture
Écriture
Écriture
Écriture
Bureau
Bureau
Bureau
Écriture
Écriture
Écriture
Bureau
Bureau
Écriture
Bureau
É"&amp;"criture
Bureau
Bureau
Papeterie
Bureau
Papeterie
Bureau
Bureau
Papeterie
Papeterie
Papeterie
Écriture
Papeterie
Bureau
Bureau
Bureau
Bureau
Bureau
Bureau
Classement
Bureau
Papeterie
Bureau
Bureau
Bureau
Classement
Bureau
Bureau
Bureau
Bureau
Bureau
Bureau"&amp;"
Bureau
Bureau
Bureau
Bureau
Bureau
Papeterie
Bureau
Consommables
Bureau
Bureau
Consommables
Consommables
Bureau
Consommables
Consommables
Bureau
Bureau
Papeterie
Bureau
Bureau
Bureau
Bureau
Bureau
Bureau
Bureau
Bureau
Bureau
Bureau
Bureau"")"),"Écriture")</f>
        <v>Écriture</v>
      </c>
      <c r="E30" s="5" t="str">
        <f>IFERROR(__xludf.DUMMYFUNCTION("AI(""Armoire D"")"),"Armoire D")</f>
        <v>Armoire D</v>
      </c>
      <c r="F30" s="5" t="str">
        <f>IFERROR(__xludf.DUMMYFUNCTION("AI(""70
42
2
3
14
34
10
10
8
23
8
3
1
1
7
12
29
24
24
4
17
5
4
1
1
8
198
34
9
11
8
11
24
2
31
3
4
12
10
56
21
20
160
100
6
22
21
50
47
1
56
120
2
1
75
270
900g
50g
40
100g
15
1
11
144
10
2
9
44
8
34
32
5
4
15
8
19
40
15
20
35
13
25
25
14
5
18
10
6
4
1
3
1"&amp;"
5 RAM
5 RAM (+1 VRAC)
3 RAM
4 RAM
 1 RAM + 1 VRAC
1 VRAC
1 RAM + 1 VRAC
3 RAM
1 RAM
VRAC
220
3
3
3
3
2
2
3
3
40ml
1
60
40
3
1
2
54
58
5
17
16
200
240
4
9
13
1
180
720
200
16
2
23
140
267
3 RAM
4
4
9
4
2000
21
5
1
2
51
2
10
4 RAM
7
1
3
3
70
91
157
97
92
"&amp;"94
214
34
90
98
174
554
1 596
101
67
22
7
1247
216
20
50
194
146
397
3
1
2
1
1
1
2
1
825
163
12
8
156
101
60
156
40
8
33
19
10
7
8
1
2
5
50
100
50
400
217
50
150
127
4
31
1
1
1
2
3
12
103
3
1
1
3
2
3 tasses 3 sous-coupe 
8
20
2 paires
2
50
2
46
40
4
2
6
4"&amp;"
3
5
9
5
4
120"")"),"34")</f>
        <v>34</v>
      </c>
    </row>
    <row r="31">
      <c r="A31" s="3" t="s">
        <v>64</v>
      </c>
      <c r="B31" s="4" t="s">
        <v>65</v>
      </c>
      <c r="C31" s="4">
        <v>9.0</v>
      </c>
      <c r="D31" s="5" t="str">
        <f>IFERROR(__xludf.DUMMYFUNCTION("AI(""Écriture
Écriture
Écriture
Écriture
Écriture
Écriture
Écriture
Écriture
Écriture
Écriture
Écriture
Écriture
Écriture
Écriture
Écriture
Écriture
Écriture
Écriture
Écriture
Bureau
Bureau
Bureau
Écriture
Écriture
Écriture
Bureau
Bureau
Écriture
Bureau
É"&amp;"criture
Bureau
Bureau
Papeterie
Bureau
Papeterie
Bureau
Bureau
Papeterie
Papeterie
Papeterie
Écriture
Papeterie
Bureau
Bureau
Bureau
Bureau
Bureau
Bureau
Classement
Bureau
Papeterie
Bureau
Bureau
Bureau
Classement
Bureau
Bureau
Bureau
Bureau
Bureau
Bureau"&amp;"
Bureau
Bureau
Bureau
Bureau
Bureau
Papeterie
Bureau
Consommables
Bureau
Bureau
Consommables
Consommables
Bureau
Consommables
Consommables
Bureau
Bureau
Papeterie
Bureau
Bureau
Bureau
Bureau
Bureau
Bureau
Bureau
Bureau
Bureau
Bureau
Bureau"")"),"Bureau")</f>
        <v>Bureau</v>
      </c>
      <c r="E31" s="5" t="str">
        <f>IFERROR(__xludf.DUMMYFUNCTION("AI(""Armoire D"")"),"Armoire D")</f>
        <v>Armoire D</v>
      </c>
      <c r="F31" s="5" t="str">
        <f>IFERROR(__xludf.DUMMYFUNCTION("AI(""70
42
2
3
14
34
10
10
8
23
8
3
1
1
7
12
29
24
24
4
17
5
4
1
1
8
198
34
9
11
8
11
24
2
31
3
4
12
10
56
21
20
160
100
6
22
21
50
47
1
56
120
2
1
75
270
900g
50g
40
100g
15
1
11
144
10
2
9
44
8
34
32
5
4
15
8
19
40
15
20
35
13
25
25
14
5
18
10
6
4
1
3
1"&amp;"
5 RAM
5 RAM (+1 VRAC)
3 RAM
4 RAM
 1 RAM + 1 VRAC
1 VRAC
1 RAM + 1 VRAC
3 RAM
1 RAM
VRAC
220
3
3
3
3
2
2
3
3
40ml
1
60
40
3
1
2
54
58
5
17
16
200
240
4
9
13
1
180
720
200
16
2
23
140
267
3 RAM
4
4
9
4
2000
21
5
1
2
51
2
10
4 RAM
7
1
3
3
70
91
157
97
92
"&amp;"94
214
34
90
98
174
554
1 596
101
67
22
7
1247
216
20
50
194
146
397
3
1
2
1
1
1
2
1
825
163
12
8
156
101
60
156
40
8
33
19
10
7
8
1
2
5
50
100
50
400
217
50
150
127
4
31
1
1
1
2
3
12
103
3
1
1
3
2
3 tasses 3 sous-coupe 
8
20
2 paires
2
50
2
46
40
4
2
6
4"&amp;"
3
5
9
5
4
120"")"),"9")</f>
        <v>9</v>
      </c>
    </row>
    <row r="32">
      <c r="A32" s="3" t="s">
        <v>66</v>
      </c>
      <c r="B32" s="4" t="s">
        <v>67</v>
      </c>
      <c r="C32" s="4">
        <v>11.0</v>
      </c>
      <c r="D32" s="5" t="str">
        <f>IFERROR(__xludf.DUMMYFUNCTION("AI(""Écriture
Écriture
Écriture
Écriture
Écriture
Écriture
Écriture
Écriture
Écriture
Écriture
Écriture
Écriture
Écriture
Écriture
Écriture
Écriture
Écriture
Écriture
Écriture
Bureau
Bureau
Bureau
Écriture
Écriture
Écriture
Bureau
Bureau
Écriture
Bureau
É"&amp;"criture
Bureau
Bureau
Papeterie
Bureau
Papeterie
Bureau
Bureau
Papeterie
Papeterie
Papeterie
Écriture
Papeterie
Bureau
Bureau
Bureau
Bureau
Bureau
Bureau
Classement
Bureau
Papeterie
Bureau
Bureau
Bureau
Classement
Bureau
Bureau
Bureau
Bureau
Bureau
Bureau"&amp;"
Bureau
Bureau
Bureau
Bureau
Bureau
Papeterie
Bureau
Consommables
Bureau
Bureau
Consommables
Consommables
Bureau
Consommables
Consommables
Bureau
Bureau
Papeterie
Bureau
Bureau
Bureau
Bureau
Bureau
Bureau
Bureau
Bureau
Bureau
Bureau
Bureau"")"),"Écriture")</f>
        <v>Écriture</v>
      </c>
      <c r="E32" s="5" t="str">
        <f>IFERROR(__xludf.DUMMYFUNCTION("AI(""Armoire D"")"),"Armoire D")</f>
        <v>Armoire D</v>
      </c>
      <c r="F32" s="5" t="str">
        <f>IFERROR(__xludf.DUMMYFUNCTION("AI(""70
42
2
3
14
34
10
10
8
23
8
3
1
1
7
12
29
24
24
4
17
5
4
1
1
8
198
34
9
11
8
11
24
2
31
3
4
12
10
56
21
20
160
100
6
22
21
50
47
1
56
120
2
1
75
270
900g
50g
40
100g
15
1
11
144
10
2
9
44
8
34
32
5
4
15
8
19
40
15
20
35
13
25
25
14
5
18
10
6
4
1
3
1"&amp;"
5 RAM
5 RAM (+1 VRAC)
3 RAM
4 RAM
 1 RAM + 1 VRAC
1 VRAC
1 RAM + 1 VRAC
3 RAM
1 RAM
VRAC
220
3
3
3
3
2
2
3
3
40ml
1
60
40
3
1
2
54
58
5
17
16
200
240
4
9
13
1
180
720
200
16
2
23
140
267
3 RAM
4
4
9
4
2000
21
5
1
2
51
2
10
4 RAM
7
1
3
3
70
91
157
97
92
"&amp;"94
214
34
90
98
174
554
1 596
101
67
22
7
1247
216
20
50
194
146
397
3
1
2
1
1
1
2
1
825
163
12
8
156
101
60
156
40
8
33
19
10
7
8
1
2
5
50
100
50
400
217
50
150
127
4
31
1
1
1
2
3
12
103
3
1
1
3
2
3 tasses 3 sous-coupe 
8
20
2 paires
2
50
2
46
40
4
2
6
4"&amp;"
3
5
9
5
4
120"")"),"11")</f>
        <v>11</v>
      </c>
    </row>
    <row r="33">
      <c r="A33" s="7" t="s">
        <v>68</v>
      </c>
      <c r="B33" s="4" t="s">
        <v>69</v>
      </c>
      <c r="C33" s="4">
        <v>8.0</v>
      </c>
      <c r="D33" s="5" t="str">
        <f>IFERROR(__xludf.DUMMYFUNCTION("AI(""Écriture
Écriture
Écriture
Écriture
Écriture
Écriture
Écriture
Écriture
Écriture
Écriture
Écriture
Écriture
Écriture
Écriture
Écriture
Écriture
Écriture
Écriture
Écriture
Bureau
Bureau
Bureau
Écriture
Écriture
Écriture
Bureau
Bureau
Écriture
Bureau
É"&amp;"criture
Bureau
Bureau
Papeterie
Bureau
Papeterie
Bureau
Bureau
Papeterie
Papeterie
Papeterie
Écriture
Papeterie
Bureau
Bureau
Bureau
Bureau
Bureau
Bureau
Classement
Bureau
Papeterie
Bureau
Bureau
Bureau
Classement
Bureau
Bureau
Bureau
Bureau
Bureau
Bureau"&amp;"
Bureau
Bureau
Bureau
Bureau
Bureau
Papeterie
Bureau
Consommables
Bureau
Bureau
Consommables
Consommables
Bureau
Consommables
Consommables
Bureau
Bureau
Papeterie
Bureau
Bureau
Bureau
Bureau
Bureau
Bureau
Bureau
Bureau
Bureau
Bureau
Bureau"")"),"Bureau")</f>
        <v>Bureau</v>
      </c>
      <c r="E33" s="5" t="str">
        <f>IFERROR(__xludf.DUMMYFUNCTION("AI(""Armoire D"")"),"Armoire D")</f>
        <v>Armoire D</v>
      </c>
      <c r="F33" s="5" t="str">
        <f>IFERROR(__xludf.DUMMYFUNCTION("AI(""70
42
2
3
14
34
10
10
8
23
8
3
1
1
7
12
29
24
24
4
17
5
4
1
1
8
198
34
9
11
8
11
24
2
31
3
4
12
10
56
21
20
160
100
6
22
21
50
47
1
56
120
2
1
75
270
900g
50g
40
100g
15
1
11
144
10
2
9
44
8
34
32
5
4
15
8
19
40
15
20
35
13
25
25
14
5
18
10
6
4
1
3
1"&amp;"
5 RAM
5 RAM (+1 VRAC)
3 RAM
4 RAM
 1 RAM + 1 VRAC
1 VRAC
1 RAM + 1 VRAC
3 RAM
1 RAM
VRAC
220
3
3
3
3
2
2
3
3
40ml
1
60
40
3
1
2
54
58
5
17
16
200
240
4
9
13
1
180
720
200
16
2
23
140
267
3 RAM
4
4
9
4
2000
21
5
1
2
51
2
10
4 RAM
7
1
3
3
70
91
157
97
92
"&amp;"94
214
34
90
98
174
554
1 596
101
67
22
7
1247
216
20
50
194
146
397
3
1
2
1
1
1
2
1
825
163
12
8
156
101
60
156
40
8
33
19
10
7
8
1
2
5
50
100
50
400
217
50
150
127
4
31
1
1
1
2
3
12
103
3
1
1
3
2
3 tasses 3 sous-coupe 
8
20
2 paires
2
50
2
46
40
4
2
6
4"&amp;"
3
5
9
5
4
120"")"),"8")</f>
        <v>8</v>
      </c>
    </row>
    <row r="34">
      <c r="A34" s="9" t="s">
        <v>70</v>
      </c>
      <c r="B34" s="4" t="s">
        <v>71</v>
      </c>
      <c r="C34" s="4">
        <v>11.0</v>
      </c>
      <c r="D34" s="5" t="str">
        <f>IFERROR(__xludf.DUMMYFUNCTION("AI(""Écriture
Écriture
Écriture
Écriture
Écriture
Écriture
Écriture
Écriture
Écriture
Écriture
Écriture
Écriture
Écriture
Écriture
Écriture
Écriture
Écriture
Écriture
Écriture
Bureau
Bureau
Bureau
Écriture
Écriture
Écriture
Bureau
Bureau
Écriture
Bureau
É"&amp;"criture
Bureau
Bureau
Papeterie
Bureau
Papeterie
Bureau
Bureau
Papeterie
Papeterie
Papeterie
Écriture
Papeterie
Bureau
Bureau
Bureau
Bureau
Bureau
Bureau
Classement
Bureau
Papeterie
Bureau
Bureau
Bureau
Classement
Bureau
Bureau
Bureau
Bureau
Bureau
Bureau"&amp;"
Bureau
Bureau
Bureau
Bureau
Bureau
Papeterie
Bureau
Consommables
Bureau
Bureau
Consommables
Consommables
Bureau
Consommables
Consommables
Bureau
Bureau
Papeterie
Bureau
Bureau
Bureau
Bureau
Bureau
Bureau
Bureau
Bureau
Bureau
Bureau
Bureau"")"),"Bureau")</f>
        <v>Bureau</v>
      </c>
      <c r="E34" s="5" t="str">
        <f>IFERROR(__xludf.DUMMYFUNCTION("AI(""Armoire D"")"),"Armoire D")</f>
        <v>Armoire D</v>
      </c>
      <c r="F34" s="5" t="str">
        <f>IFERROR(__xludf.DUMMYFUNCTION("AI(""70
42
2
3
14
34
10
10
8
23
8
3
1
1
7
12
29
24
24
4
17
5
4
1
1
8
198
34
9
11
8
11
24
2
31
3
4
12
10
56
21
20
160
100
6
22
21
50
47
1
56
120
2
1
75
270
900g
50g
40
100g
15
1
11
144
10
2
9
44
8
34
32
5
4
15
8
19
40
15
20
35
13
25
25
14
5
18
10
6
4
1
3
1"&amp;"
5 RAM
5 RAM (+1 VRAC)
3 RAM
4 RAM
 1 RAM + 1 VRAC
1 VRAC
1 RAM + 1 VRAC
3 RAM
1 RAM
VRAC
220
3
3
3
3
2
2
3
3
40ml
1
60
40
3
1
2
54
58
5
17
16
200
240
4
9
13
1
180
720
200
16
2
23
140
267
3 RAM
4
4
9
4
2000
21
5
1
2
51
2
10
4 RAM
7
1
3
3
70
91
157
97
92
"&amp;"94
214
34
90
98
174
554
1 596
101
67
22
7
1247
216
20
50
194
146
397
3
1
2
1
1
1
2
1
825
163
12
8
156
101
60
156
40
8
33
19
10
7
8
1
2
5
50
100
50
400
217
50
150
127
4
31
1
1
1
2
3
12
103
3
1
1
3
2
3 tasses 3 sous-coupe 
8
20
2 paires
2
50
2
46
40
4
2
6
4"&amp;"
3
5
9
5
4
120"")"),"11")</f>
        <v>11</v>
      </c>
    </row>
    <row r="35">
      <c r="A35" s="3" t="s">
        <v>72</v>
      </c>
      <c r="B35" s="4" t="s">
        <v>73</v>
      </c>
      <c r="C35" s="4">
        <v>24.0</v>
      </c>
      <c r="D35" s="5" t="str">
        <f>IFERROR(__xludf.DUMMYFUNCTION("AI(""Écriture
Écriture
Écriture
Écriture
Écriture
Écriture
Écriture
Écriture
Écriture
Écriture
Écriture
Écriture
Écriture
Écriture
Écriture
Écriture
Écriture
Écriture
Écriture
Bureau
Bureau
Bureau
Écriture
Écriture
Écriture
Bureau
Bureau
Écriture
Bureau
É"&amp;"criture
Bureau
Bureau
Papeterie
Bureau
Papeterie
Bureau
Bureau
Papeterie
Papeterie
Papeterie
Écriture
Papeterie
Bureau
Bureau
Bureau
Bureau
Bureau
Bureau
Classement
Bureau
Papeterie
Bureau
Bureau
Bureau
Classement
Bureau
Bureau
Bureau
Bureau
Bureau
Bureau"&amp;"
Bureau
Bureau
Bureau
Bureau
Bureau
Papeterie
Bureau
Consommables
Bureau
Bureau
Consommables
Consommables
Bureau
Consommables
Consommables
Bureau
Bureau
Papeterie
Bureau
Bureau
Bureau
Bureau
Bureau
Bureau
Bureau
Bureau
Bureau
Bureau
Bureau"")"),"Papeterie")</f>
        <v>Papeterie</v>
      </c>
      <c r="E35" s="5" t="str">
        <f>IFERROR(__xludf.DUMMYFUNCTION("AI(""Armoire D"")"),"Armoire D")</f>
        <v>Armoire D</v>
      </c>
      <c r="F35" s="5" t="str">
        <f>IFERROR(__xludf.DUMMYFUNCTION("AI(""70
42
2
3
14
34
10
10
8
23
8
3
1
1
7
12
29
24
24
4
17
5
4
1
1
8
198
34
9
11
8
11
24
2
31
3
4
12
10
56
21
20
160
100
6
22
21
50
47
1
56
120
2
1
75
270
900g
50g
40
100g
15
1
11
144
10
2
9
44
8
34
32
5
4
15
8
19
40
15
20
35
13
25
25
14
5
18
10
6
4
1
3
1"&amp;"
5 RAM
5 RAM (+1 VRAC)
3 RAM
4 RAM
 1 RAM + 1 VRAC
1 VRAC
1 RAM + 1 VRAC
3 RAM
1 RAM
VRAC
220
3
3
3
3
2
2
3
3
40ml
1
60
40
3
1
2
54
58
5
17
16
200
240
4
9
13
1
180
720
200
16
2
23
140
267
3 RAM
4
4
9
4
2000
21
5
1
2
51
2
10
4 RAM
7
1
3
3
70
91
157
97
92
"&amp;"94
214
34
90
98
174
554
1 596
101
67
22
7
1247
216
20
50
194
146
397
3
1
2
1
1
1
2
1
825
163
12
8
156
101
60
156
40
8
33
19
10
7
8
1
2
5
50
100
50
400
217
50
150
127
4
31
1
1
1
2
3
12
103
3
1
1
3
2
3 tasses 3 sous-coupe 
8
20
2 paires
2
50
2
46
40
4
2
6
4"&amp;"
3
5
9
5
4
120"")"),"24")</f>
        <v>24</v>
      </c>
    </row>
    <row r="36">
      <c r="A36" s="7" t="s">
        <v>74</v>
      </c>
      <c r="B36" s="4" t="s">
        <v>75</v>
      </c>
      <c r="C36" s="4">
        <v>2.0</v>
      </c>
      <c r="D36" s="5" t="str">
        <f>IFERROR(__xludf.DUMMYFUNCTION("AI(""Écriture
Écriture
Écriture
Écriture
Écriture
Écriture
Écriture
Écriture
Écriture
Écriture
Écriture
Écriture
Écriture
Écriture
Écriture
Écriture
Écriture
Écriture
Écriture
Bureau
Bureau
Bureau
Écriture
Écriture
Écriture
Bureau
Bureau
Écriture
Bureau
É"&amp;"criture
Bureau
Bureau
Papeterie
Bureau
Papeterie
Bureau
Bureau
Papeterie
Papeterie
Papeterie
Écriture
Papeterie
Bureau
Bureau
Bureau
Bureau
Bureau
Bureau
Classement
Bureau
Papeterie
Bureau
Bureau
Bureau
Classement
Bureau
Bureau
Bureau
Bureau
Bureau
Bureau"&amp;"
Bureau
Bureau
Bureau
Bureau
Bureau
Papeterie
Bureau
Consommables
Bureau
Bureau
Consommables
Consommables
Bureau
Consommables
Consommables
Bureau
Bureau
Papeterie
Bureau
Bureau
Bureau
Bureau
Bureau
Bureau
Bureau
Bureau
Bureau
Bureau
Bureau"")"),"Bureau")</f>
        <v>Bureau</v>
      </c>
      <c r="E36" s="5" t="str">
        <f>IFERROR(__xludf.DUMMYFUNCTION("AI(""Armoire D"")"),"Armoire D")</f>
        <v>Armoire D</v>
      </c>
      <c r="F36" s="5" t="str">
        <f>IFERROR(__xludf.DUMMYFUNCTION("AI(""70
42
2
3
14
34
10
10
8
23
8
3
1
1
7
12
29
24
24
4
17
5
4
1
1
8
198
34
9
11
8
11
24
2
31
3
4
12
10
56
21
20
160
100
6
22
21
50
47
1
56
120
2
1
75
270
900g
50g
40
100g
15
1
11
144
10
2
9
44
8
34
32
5
4
15
8
19
40
15
20
35
13
25
25
14
5
18
10
6
4
1
3
1"&amp;"
5 RAM
5 RAM (+1 VRAC)
3 RAM
4 RAM
 1 RAM + 1 VRAC
1 VRAC
1 RAM + 1 VRAC
3 RAM
1 RAM
VRAC
220
3
3
3
3
2
2
3
3
40ml
1
60
40
3
1
2
54
58
5
17
16
200
240
4
9
13
1
180
720
200
16
2
23
140
267
3 RAM
4
4
9
4
2000
21
5
1
2
51
2
10
4 RAM
7
1
3
3
70
91
157
97
92
"&amp;"94
214
34
90
98
174
554
1 596
101
67
22
7
1247
216
20
50
194
146
397
3
1
2
1
1
1
2
1
825
163
12
8
156
101
60
156
40
8
33
19
10
7
8
1
2
5
50
100
50
400
217
50
150
127
4
31
1
1
1
2
3
12
103
3
1
1
3
2
3 tasses 3 sous-coupe 
8
20
2 paires
2
50
2
46
40
4
2
6
4"&amp;"
3
5
9
5
4
120"")"),"2")</f>
        <v>2</v>
      </c>
    </row>
    <row r="37">
      <c r="A37" s="10" t="s">
        <v>76</v>
      </c>
      <c r="B37" s="4" t="s">
        <v>77</v>
      </c>
      <c r="C37" s="4">
        <v>31.0</v>
      </c>
      <c r="D37" s="5" t="str">
        <f>IFERROR(__xludf.DUMMYFUNCTION("AI(""Écriture
Écriture
Écriture
Écriture
Écriture
Écriture
Écriture
Écriture
Écriture
Écriture
Écriture
Écriture
Écriture
Écriture
Écriture
Écriture
Écriture
Écriture
Écriture
Bureau
Bureau
Bureau
Écriture
Écriture
Écriture
Bureau
Bureau
Écriture
Bureau
É"&amp;"criture
Bureau
Bureau
Papeterie
Bureau
Papeterie
Bureau
Bureau
Papeterie
Papeterie
Papeterie
Écriture
Papeterie
Bureau
Bureau
Bureau
Bureau
Bureau
Bureau
Classement
Bureau
Papeterie
Bureau
Bureau
Bureau
Classement
Bureau
Bureau
Bureau
Bureau
Bureau
Bureau"&amp;"
Bureau
Bureau
Bureau
Bureau
Bureau
Papeterie
Bureau
Consommables
Bureau
Bureau
Consommables
Consommables
Bureau
Consommables
Consommables
Bureau
Bureau
Papeterie
Bureau
Bureau
Bureau
Bureau
Bureau
Bureau
Bureau
Bureau
Bureau
Bureau
Bureau"")"),"Papeterie")</f>
        <v>Papeterie</v>
      </c>
      <c r="E37" s="5" t="str">
        <f>IFERROR(__xludf.DUMMYFUNCTION("AI(""Armoire D"")"),"Armoire D")</f>
        <v>Armoire D</v>
      </c>
      <c r="F37" s="5" t="str">
        <f>IFERROR(__xludf.DUMMYFUNCTION("AI(""70
42
2
3
14
34
10
10
8
23
8
3
1
1
7
12
29
24
24
4
17
5
4
1
1
8
198
34
9
11
8
11
24
2
31
3
4
12
10
56
21
20
160
100
6
22
21
50
47
1
56
120
2
1
75
270
900g
50g
40
100g
15
1
11
144
10
2
9
44
8
34
32
5
4
15
8
19
40
15
20
35
13
25
25
14
5
18
10
6
4
1
3
1"&amp;"
5 RAM
5 RAM (+1 VRAC)
3 RAM
4 RAM
 1 RAM + 1 VRAC
1 VRAC
1 RAM + 1 VRAC
3 RAM
1 RAM
VRAC
220
3
3
3
3
2
2
3
3
40ml
1
60
40
3
1
2
54
58
5
17
16
200
240
4
9
13
1
180
720
200
16
2
23
140
267
3 RAM
4
4
9
4
2000
21
5
1
2
51
2
10
4 RAM
7
1
3
3
70
91
157
97
92
"&amp;"94
214
34
90
98
174
554
1 596
101
67
22
7
1247
216
20
50
194
146
397
3
1
2
1
1
1
2
1
825
163
12
8
156
101
60
156
40
8
33
19
10
7
8
1
2
5
50
100
50
400
217
50
150
127
4
31
1
1
1
2
3
12
103
3
1
1
3
2
3 tasses 3 sous-coupe 
8
20
2 paires
2
50
2
46
40
4
2
6
4"&amp;"
3
5
9
5
4
120"")"),"31")</f>
        <v>31</v>
      </c>
    </row>
    <row r="38">
      <c r="A38" s="3" t="s">
        <v>78</v>
      </c>
      <c r="B38" s="4" t="s">
        <v>79</v>
      </c>
      <c r="C38" s="4">
        <v>3.0</v>
      </c>
      <c r="D38" s="5" t="str">
        <f>IFERROR(__xludf.DUMMYFUNCTION("AI(""Écriture
Écriture
Écriture
Écriture
Écriture
Écriture
Écriture
Écriture
Écriture
Écriture
Écriture
Écriture
Écriture
Écriture
Écriture
Écriture
Écriture
Écriture
Écriture
Bureau
Bureau
Bureau
Écriture
Écriture
Écriture
Bureau
Bureau
Écriture
Bureau
É"&amp;"criture
Bureau
Bureau
Papeterie
Bureau
Papeterie
Bureau
Bureau
Papeterie
Papeterie
Papeterie
Écriture
Papeterie
Bureau
Bureau
Bureau
Bureau
Bureau
Bureau
Classement
Bureau
Papeterie
Bureau
Bureau
Bureau
Classement
Bureau
Bureau
Bureau
Bureau
Bureau
Bureau"&amp;"
Bureau
Bureau
Bureau
Bureau
Bureau
Papeterie
Bureau
Consommables
Bureau
Bureau
Consommables
Consommables
Bureau
Consommables
Consommables
Bureau
Bureau
Papeterie
Bureau
Bureau
Bureau
Bureau
Bureau
Bureau
Bureau
Bureau
Bureau
Bureau
Bureau"")"),"Bureau")</f>
        <v>Bureau</v>
      </c>
      <c r="E38" s="5" t="str">
        <f>IFERROR(__xludf.DUMMYFUNCTION("AI(""Armoire D"")"),"Armoire D")</f>
        <v>Armoire D</v>
      </c>
      <c r="F38" s="5" t="str">
        <f>IFERROR(__xludf.DUMMYFUNCTION("AI(""70
42
2
3
14
34
10
10
8
23
8
3
1
1
7
12
29
24
24
4
17
5
4
1
1
8
198
34
9
11
8
11
24
2
31
3
4
12
10
56
21
20
160
100
6
22
21
50
47
1
56
120
2
1
75
270
900g
50g
40
100g
15
1
11
144
10
2
9
44
8
34
32
5
4
15
8
19
40
15
20
35
13
25
25
14
5
18
10
6
4
1
3
1"&amp;"
5 RAM
5 RAM (+1 VRAC)
3 RAM
4 RAM
 1 RAM + 1 VRAC
1 VRAC
1 RAM + 1 VRAC
3 RAM
1 RAM
VRAC
220
3
3
3
3
2
2
3
3
40ml
1
60
40
3
1
2
54
58
5
17
16
200
240
4
9
13
1
180
720
200
16
2
23
140
267
3 RAM
4
4
9
4
2000
21
5
1
2
51
2
10
4 RAM
7
1
3
3
70
91
157
97
92
"&amp;"94
214
34
90
98
174
554
1 596
101
67
22
7
1247
216
20
50
194
146
397
3
1
2
1
1
1
2
1
825
163
12
8
156
101
60
156
40
8
33
19
10
7
8
1
2
5
50
100
50
400
217
50
150
127
4
31
1
1
1
2
3
12
103
3
1
1
3
2
3 tasses 3 sous-coupe 
8
20
2 paires
2
50
2
46
40
4
2
6
4"&amp;"
3
5
9
5
4
120"")"),"3")</f>
        <v>3</v>
      </c>
    </row>
    <row r="39">
      <c r="A39" s="3" t="s">
        <v>80</v>
      </c>
      <c r="B39" s="4" t="s">
        <v>81</v>
      </c>
      <c r="C39" s="4">
        <v>4.0</v>
      </c>
      <c r="D39" s="5" t="str">
        <f>IFERROR(__xludf.DUMMYFUNCTION("AI(""Écriture
Écriture
Écriture
Écriture
Écriture
Écriture
Écriture
Écriture
Écriture
Écriture
Écriture
Écriture
Écriture
Écriture
Écriture
Écriture
Écriture
Écriture
Écriture
Bureau
Bureau
Bureau
Écriture
Écriture
Écriture
Bureau
Bureau
Écriture
Bureau
É"&amp;"criture
Bureau
Bureau
Papeterie
Bureau
Papeterie
Bureau
Bureau
Papeterie
Papeterie
Papeterie
Écriture
Papeterie
Bureau
Bureau
Bureau
Bureau
Bureau
Bureau
Classement
Bureau
Papeterie
Bureau
Bureau
Bureau
Classement
Bureau
Bureau
Bureau
Bureau
Bureau
Bureau"&amp;"
Bureau
Bureau
Bureau
Bureau
Bureau
Papeterie
Bureau
Consommables
Bureau
Bureau
Consommables
Consommables
Bureau
Consommables
Consommables
Bureau
Bureau
Papeterie
Bureau
Bureau
Bureau
Bureau
Bureau
Bureau
Bureau
Bureau
Bureau
Bureau
Bureau"")"),"Bureau")</f>
        <v>Bureau</v>
      </c>
      <c r="E39" s="5" t="str">
        <f>IFERROR(__xludf.DUMMYFUNCTION("AI(""Armoire D"")"),"Armoire D")</f>
        <v>Armoire D</v>
      </c>
      <c r="F39" s="5" t="str">
        <f>IFERROR(__xludf.DUMMYFUNCTION("AI(""70
42
2
3
14
34
10
10
8
23
8
3
1
1
7
12
29
24
24
4
17
5
4
1
1
8
198
34
9
11
8
11
24
2
31
3
4
12
10
56
21
20
160
100
6
22
21
50
47
1
56
120
2
1
75
270
900g
50g
40
100g
15
1
11
144
10
2
9
44
8
34
32
5
4
15
8
19
40
15
20
35
13
25
25
14
5
18
10
6
4
1
3
1"&amp;"
5 RAM
5 RAM (+1 VRAC)
3 RAM
4 RAM
 1 RAM + 1 VRAC
1 VRAC
1 RAM + 1 VRAC
3 RAM
1 RAM
VRAC
220
3
3
3
3
2
2
3
3
40ml
1
60
40
3
1
2
54
58
5
17
16
200
240
4
9
13
1
180
720
200
16
2
23
140
267
3 RAM
4
4
9
4
2000
21
5
1
2
51
2
10
4 RAM
7
1
3
3
70
91
157
97
92
"&amp;"94
214
34
90
98
174
554
1 596
101
67
22
7
1247
216
20
50
194
146
397
3
1
2
1
1
1
2
1
825
163
12
8
156
101
60
156
40
8
33
19
10
7
8
1
2
5
50
100
50
400
217
50
150
127
4
31
1
1
1
2
3
12
103
3
1
1
3
2
3 tasses 3 sous-coupe 
8
20
2 paires
2
50
2
46
40
4
2
6
4"&amp;"
3
5
9
5
4
120"")"),"4")</f>
        <v>4</v>
      </c>
    </row>
    <row r="40">
      <c r="A40" s="7" t="s">
        <v>82</v>
      </c>
      <c r="B40" s="4" t="s">
        <v>83</v>
      </c>
      <c r="C40" s="4">
        <v>12.0</v>
      </c>
      <c r="D40" s="5" t="str">
        <f>IFERROR(__xludf.DUMMYFUNCTION("AI(""Écriture
Écriture
Écriture
Écriture
Écriture
Écriture
Écriture
Écriture
Écriture
Écriture
Écriture
Écriture
Écriture
Écriture
Écriture
Écriture
Écriture
Écriture
Écriture
Bureau
Bureau
Bureau
Écriture
Écriture
Écriture
Bureau
Bureau
Écriture
Bureau
É"&amp;"criture
Bureau
Bureau
Papeterie
Bureau
Papeterie
Bureau
Bureau
Papeterie
Papeterie
Papeterie
Écriture
Papeterie
Bureau
Bureau
Bureau
Bureau
Bureau
Bureau
Classement
Bureau
Papeterie
Bureau
Bureau
Bureau
Classement
Bureau
Bureau
Bureau
Bureau
Bureau
Bureau"&amp;"
Bureau
Bureau
Bureau
Bureau
Bureau
Papeterie
Bureau
Consommables
Bureau
Bureau
Consommables
Consommables
Bureau
Consommables
Consommables
Bureau
Bureau
Papeterie
Bureau
Bureau
Bureau
Bureau
Bureau
Bureau
Bureau
Bureau
Bureau
Bureau
Bureau"")"),"Papeterie")</f>
        <v>Papeterie</v>
      </c>
      <c r="E40" s="5" t="str">
        <f>IFERROR(__xludf.DUMMYFUNCTION("AI(""Armoire D"")"),"Armoire D")</f>
        <v>Armoire D</v>
      </c>
      <c r="F40" s="5" t="str">
        <f>IFERROR(__xludf.DUMMYFUNCTION("AI(""70
42
2
3
14
34
10
10
8
23
8
3
1
1
7
12
29
24
24
4
17
5
4
1
1
8
198
34
9
11
8
11
24
2
31
3
4
12
10
56
21
20
160
100
6
22
21
50
47
1
56
120
2
1
75
270
900g
50g
40
100g
15
1
11
144
10
2
9
44
8
34
32
5
4
15
8
19
40
15
20
35
13
25
25
14
5
18
10
6
4
1
3
1"&amp;"
5 RAM
5 RAM (+1 VRAC)
3 RAM
4 RAM
 1 RAM + 1 VRAC
1 VRAC
1 RAM + 1 VRAC
3 RAM
1 RAM
VRAC
220
3
3
3
3
2
2
3
3
40ml
1
60
40
3
1
2
54
58
5
17
16
200
240
4
9
13
1
180
720
200
16
2
23
140
267
3 RAM
4
4
9
4
2000
21
5
1
2
51
2
10
4 RAM
7
1
3
3
70
91
157
97
92
"&amp;"94
214
34
90
98
174
554
1 596
101
67
22
7
1247
216
20
50
194
146
397
3
1
2
1
1
1
2
1
825
163
12
8
156
101
60
156
40
8
33
19
10
7
8
1
2
5
50
100
50
400
217
50
150
127
4
31
1
1
1
2
3
12
103
3
1
1
3
2
3 tasses 3 sous-coupe 
8
20
2 paires
2
50
2
46
40
4
2
6
4"&amp;"
3
5
9
5
4
120"")"),"12")</f>
        <v>12</v>
      </c>
    </row>
    <row r="41">
      <c r="A41" s="3" t="s">
        <v>84</v>
      </c>
      <c r="B41" s="4" t="s">
        <v>85</v>
      </c>
      <c r="C41" s="4">
        <v>10.0</v>
      </c>
      <c r="D41" s="5" t="str">
        <f>IFERROR(__xludf.DUMMYFUNCTION("AI(""Écriture
Écriture
Écriture
Écriture
Écriture
Écriture
Écriture
Écriture
Écriture
Écriture
Écriture
Écriture
Écriture
Écriture
Écriture
Écriture
Écriture
Écriture
Écriture
Bureau
Bureau
Bureau
Écriture
Écriture
Écriture
Bureau
Bureau
Écriture
Bureau
É"&amp;"criture
Bureau
Bureau
Papeterie
Bureau
Papeterie
Bureau
Bureau
Papeterie
Papeterie
Papeterie
Écriture
Papeterie
Bureau
Bureau
Bureau
Bureau
Bureau
Bureau
Classement
Bureau
Papeterie
Bureau
Bureau
Bureau
Classement
Bureau
Bureau
Bureau
Bureau
Bureau
Bureau"&amp;"
Bureau
Bureau
Bureau
Bureau
Bureau
Papeterie
Bureau
Consommables
Bureau
Bureau
Consommables
Consommables
Bureau
Consommables
Consommables
Bureau
Bureau
Papeterie
Bureau
Bureau
Bureau
Bureau
Bureau
Bureau
Bureau
Bureau
Bureau
Bureau
Bureau"")"),"Papeterie")</f>
        <v>Papeterie</v>
      </c>
      <c r="E41" s="5" t="str">
        <f>IFERROR(__xludf.DUMMYFUNCTION("AI(""Armoire D"")"),"Armoire D")</f>
        <v>Armoire D</v>
      </c>
      <c r="F41" s="5" t="str">
        <f>IFERROR(__xludf.DUMMYFUNCTION("AI(""70
42
2
3
14
34
10
10
8
23
8
3
1
1
7
12
29
24
24
4
17
5
4
1
1
8
198
34
9
11
8
11
24
2
31
3
4
12
10
56
21
20
160
100
6
22
21
50
47
1
56
120
2
1
75
270
900g
50g
40
100g
15
1
11
144
10
2
9
44
8
34
32
5
4
15
8
19
40
15
20
35
13
25
25
14
5
18
10
6
4
1
3
1"&amp;"
5 RAM
5 RAM (+1 VRAC)
3 RAM
4 RAM
 1 RAM + 1 VRAC
1 VRAC
1 RAM + 1 VRAC
3 RAM
1 RAM
VRAC
220
3
3
3
3
2
2
3
3
40ml
1
60
40
3
1
2
54
58
5
17
16
200
240
4
9
13
1
180
720
200
16
2
23
140
267
3 RAM
4
4
9
4
2000
21
5
1
2
51
2
10
4 RAM
7
1
3
3
70
91
157
97
92
"&amp;"94
214
34
90
98
174
554
1 596
101
67
22
7
1247
216
20
50
194
146
397
3
1
2
1
1
1
2
1
825
163
12
8
156
101
60
156
40
8
33
19
10
7
8
1
2
5
50
100
50
400
217
50
150
127
4
31
1
1
1
2
3
12
103
3
1
1
3
2
3 tasses 3 sous-coupe 
8
20
2 paires
2
50
2
46
40
4
2
6
4"&amp;"
3
5
9
5
4
120"")"),"10")</f>
        <v>10</v>
      </c>
    </row>
    <row r="42">
      <c r="A42" s="3" t="s">
        <v>86</v>
      </c>
      <c r="B42" s="4" t="s">
        <v>87</v>
      </c>
      <c r="C42" s="4">
        <v>56.0</v>
      </c>
      <c r="D42" s="5" t="str">
        <f>IFERROR(__xludf.DUMMYFUNCTION("AI(""Écriture
Écriture
Écriture
Écriture
Écriture
Écriture
Écriture
Écriture
Écriture
Écriture
Écriture
Écriture
Écriture
Écriture
Écriture
Écriture
Écriture
Écriture
Écriture
Bureau
Bureau
Bureau
Écriture
Écriture
Écriture
Bureau
Bureau
Écriture
Bureau
É"&amp;"criture
Bureau
Bureau
Papeterie
Bureau
Papeterie
Bureau
Bureau
Papeterie
Papeterie
Papeterie
Écriture
Papeterie
Bureau
Bureau
Bureau
Bureau
Bureau
Bureau
Classement
Bureau
Papeterie
Bureau
Bureau
Bureau
Classement
Bureau
Bureau
Bureau
Bureau
Bureau
Bureau"&amp;"
Bureau
Bureau
Bureau
Bureau
Bureau
Papeterie
Bureau
Consommables
Bureau
Bureau
Consommables
Consommables
Bureau
Consommables
Consommables
Bureau
Bureau
Papeterie
Bureau
Bureau
Bureau
Bureau
Bureau
Bureau
Bureau
Bureau
Bureau
Bureau
Bureau"")"),"Papeterie")</f>
        <v>Papeterie</v>
      </c>
      <c r="E42" s="5" t="str">
        <f>IFERROR(__xludf.DUMMYFUNCTION("AI(""Armoire D"")"),"Armoire D")</f>
        <v>Armoire D</v>
      </c>
      <c r="F42" s="5" t="str">
        <f>IFERROR(__xludf.DUMMYFUNCTION("AI(""70
42
2
3
14
34
10
10
8
23
8
3
1
1
7
12
29
24
24
4
17
5
4
1
1
8
198
34
9
11
8
11
24
2
31
3
4
12
10
56
21
20
160
100
6
22
21
50
47
1
56
120
2
1
75
270
900g
50g
40
100g
15
1
11
144
10
2
9
44
8
34
32
5
4
15
8
19
40
15
20
35
13
25
25
14
5
18
10
6
4
1
3
1"&amp;"
5 RAM
5 RAM (+1 VRAC)
3 RAM
4 RAM
 1 RAM + 1 VRAC
1 VRAC
1 RAM + 1 VRAC
3 RAM
1 RAM
VRAC
220
3
3
3
3
2
2
3
3
40ml
1
60
40
3
1
2
54
58
5
17
16
200
240
4
9
13
1
180
720
200
16
2
23
140
267
3 RAM
4
4
9
4
2000
21
5
1
2
51
2
10
4 RAM
7
1
3
3
70
91
157
97
92
"&amp;"94
214
34
90
98
174
554
1 596
101
67
22
7
1247
216
20
50
194
146
397
3
1
2
1
1
1
2
1
825
163
12
8
156
101
60
156
40
8
33
19
10
7
8
1
2
5
50
100
50
400
217
50
150
127
4
31
1
1
1
2
3
12
103
3
1
1
3
2
3 tasses 3 sous-coupe 
8
20
2 paires
2
50
2
46
40
4
2
6
4"&amp;"
3
5
9
5
4
120"")"),"56")</f>
        <v>56</v>
      </c>
    </row>
    <row r="43">
      <c r="A43" s="3" t="s">
        <v>88</v>
      </c>
      <c r="B43" s="4" t="s">
        <v>89</v>
      </c>
      <c r="C43" s="4">
        <v>21.0</v>
      </c>
      <c r="D43" s="5" t="str">
        <f>IFERROR(__xludf.DUMMYFUNCTION("AI(""Écriture
Écriture
Écriture
Écriture
Écriture
Écriture
Écriture
Écriture
Écriture
Écriture
Écriture
Écriture
Écriture
Écriture
Écriture
Écriture
Écriture
Écriture
Écriture
Bureau
Bureau
Bureau
Écriture
Écriture
Écriture
Bureau
Bureau
Écriture
Bureau
É"&amp;"criture
Bureau
Bureau
Papeterie
Bureau
Papeterie
Bureau
Bureau
Papeterie
Papeterie
Papeterie
Écriture
Papeterie
Bureau
Bureau
Bureau
Bureau
Bureau
Bureau
Classement
Bureau
Papeterie
Bureau
Bureau
Bureau
Classement
Bureau
Bureau
Bureau
Bureau
Bureau
Bureau"&amp;"
Bureau
Bureau
Bureau
Bureau
Bureau
Papeterie
Bureau
Consommables
Bureau
Bureau
Consommables
Consommables
Bureau
Consommables
Consommables
Bureau
Bureau
Papeterie
Bureau
Bureau
Bureau
Bureau
Bureau
Bureau
Bureau
Bureau
Bureau
Bureau
Bureau"")"),"Écriture")</f>
        <v>Écriture</v>
      </c>
      <c r="E43" s="5" t="str">
        <f>IFERROR(__xludf.DUMMYFUNCTION("AI(""Armoire D"")"),"Armoire D")</f>
        <v>Armoire D</v>
      </c>
      <c r="F43" s="5" t="str">
        <f>IFERROR(__xludf.DUMMYFUNCTION("AI(""70
42
2
3
14
34
10
10
8
23
8
3
1
1
7
12
29
24
24
4
17
5
4
1
1
8
198
34
9
11
8
11
24
2
31
3
4
12
10
56
21
20
160
100
6
22
21
50
47
1
56
120
2
1
75
270
900g
50g
40
100g
15
1
11
144
10
2
9
44
8
34
32
5
4
15
8
19
40
15
20
35
13
25
25
14
5
18
10
6
4
1
3
1"&amp;"
5 RAM
5 RAM (+1 VRAC)
3 RAM
4 RAM
 1 RAM + 1 VRAC
1 VRAC
1 RAM + 1 VRAC
3 RAM
1 RAM
VRAC
220
3
3
3
3
2
2
3
3
40ml
1
60
40
3
1
2
54
58
5
17
16
200
240
4
9
13
1
180
720
200
16
2
23
140
267
3 RAM
4
4
9
4
2000
21
5
1
2
51
2
10
4 RAM
7
1
3
3
70
91
157
97
92
"&amp;"94
214
34
90
98
174
554
1 596
101
67
22
7
1247
216
20
50
194
146
397
3
1
2
1
1
1
2
1
825
163
12
8
156
101
60
156
40
8
33
19
10
7
8
1
2
5
50
100
50
400
217
50
150
127
4
31
1
1
1
2
3
12
103
3
1
1
3
2
3 tasses 3 sous-coupe 
8
20
2 paires
2
50
2
46
40
4
2
6
4"&amp;"
3
5
9
5
4
120"")"),"21")</f>
        <v>21</v>
      </c>
    </row>
    <row r="44">
      <c r="A44" s="7" t="s">
        <v>90</v>
      </c>
      <c r="B44" s="4" t="s">
        <v>91</v>
      </c>
      <c r="C44" s="4">
        <v>20.0</v>
      </c>
      <c r="D44" s="5" t="str">
        <f>IFERROR(__xludf.DUMMYFUNCTION("AI(""Écriture
Écriture
Écriture
Écriture
Écriture
Écriture
Écriture
Écriture
Écriture
Écriture
Écriture
Écriture
Écriture
Écriture
Écriture
Écriture
Écriture
Écriture
Écriture
Bureau
Bureau
Bureau
Écriture
Écriture
Écriture
Bureau
Bureau
Écriture
Bureau
É"&amp;"criture
Bureau
Bureau
Papeterie
Bureau
Papeterie
Bureau
Bureau
Papeterie
Papeterie
Papeterie
Écriture
Papeterie
Bureau
Bureau
Bureau
Bureau
Bureau
Bureau
Classement
Bureau
Papeterie
Bureau
Bureau
Bureau
Classement
Bureau
Bureau
Bureau
Bureau
Bureau
Bureau"&amp;"
Bureau
Bureau
Bureau
Bureau
Bureau
Papeterie
Bureau
Consommables
Bureau
Bureau
Consommables
Consommables
Bureau
Consommables
Consommables
Bureau
Bureau
Papeterie
Bureau
Bureau
Bureau
Bureau
Bureau
Bureau
Bureau
Bureau
Bureau
Bureau
Bureau"")"),"Papeterie")</f>
        <v>Papeterie</v>
      </c>
      <c r="E44" s="5" t="str">
        <f>IFERROR(__xludf.DUMMYFUNCTION("AI(""Armoire D"")"),"Armoire D")</f>
        <v>Armoire D</v>
      </c>
      <c r="F44" s="5" t="str">
        <f>IFERROR(__xludf.DUMMYFUNCTION("AI(""70
42
2
3
14
34
10
10
8
23
8
3
1
1
7
12
29
24
24
4
17
5
4
1
1
8
198
34
9
11
8
11
24
2
31
3
4
12
10
56
21
20
160
100
6
22
21
50
47
1
56
120
2
1
75
270
900g
50g
40
100g
15
1
11
144
10
2
9
44
8
34
32
5
4
15
8
19
40
15
20
35
13
25
25
14
5
18
10
6
4
1
3
1"&amp;"
5 RAM
5 RAM (+1 VRAC)
3 RAM
4 RAM
 1 RAM + 1 VRAC
1 VRAC
1 RAM + 1 VRAC
3 RAM
1 RAM
VRAC
220
3
3
3
3
2
2
3
3
40ml
1
60
40
3
1
2
54
58
5
17
16
200
240
4
9
13
1
180
720
200
16
2
23
140
267
3 RAM
4
4
9
4
2000
21
5
1
2
51
2
10
4 RAM
7
1
3
3
70
91
157
97
92
"&amp;"94
214
34
90
98
174
554
1 596
101
67
22
7
1247
216
20
50
194
146
397
3
1
2
1
1
1
2
1
825
163
12
8
156
101
60
156
40
8
33
19
10
7
8
1
2
5
50
100
50
400
217
50
150
127
4
31
1
1
1
2
3
12
103
3
1
1
3
2
3 tasses 3 sous-coupe 
8
20
2 paires
2
50
2
46
40
4
2
6
4"&amp;"
3
5
9
5
4
120"")"),"20")</f>
        <v>20</v>
      </c>
    </row>
    <row r="45">
      <c r="A45" s="3" t="s">
        <v>92</v>
      </c>
      <c r="B45" s="4" t="s">
        <v>93</v>
      </c>
      <c r="C45" s="4">
        <v>160.0</v>
      </c>
      <c r="D45" s="5" t="str">
        <f>IFERROR(__xludf.DUMMYFUNCTION("AI(""Écriture
Écriture
Écriture
Écriture
Écriture
Écriture
Écriture
Écriture
Écriture
Écriture
Écriture
Écriture
Écriture
Écriture
Écriture
Écriture
Écriture
Écriture
Écriture
Bureau
Bureau
Bureau
Écriture
Écriture
Écriture
Bureau
Bureau
Écriture
Bureau
É"&amp;"criture
Bureau
Bureau
Papeterie
Bureau
Papeterie
Bureau
Bureau
Papeterie
Papeterie
Papeterie
Écriture
Papeterie
Bureau
Bureau
Bureau
Bureau
Bureau
Bureau
Classement
Bureau
Papeterie
Bureau
Bureau
Bureau
Classement
Bureau
Bureau
Bureau
Bureau
Bureau
Bureau"&amp;"
Bureau
Bureau
Bureau
Bureau
Bureau
Papeterie
Bureau
Consommables
Bureau
Bureau
Consommables
Consommables
Bureau
Consommables
Consommables
Bureau
Bureau
Papeterie
Bureau
Bureau
Bureau
Bureau
Bureau
Bureau
Bureau
Bureau
Bureau
Bureau
Bureau"")"),"Bureau")</f>
        <v>Bureau</v>
      </c>
      <c r="E45" s="5" t="str">
        <f>IFERROR(__xludf.DUMMYFUNCTION("AI(""Armoire D"")"),"Armoire D")</f>
        <v>Armoire D</v>
      </c>
      <c r="F45" s="5" t="str">
        <f>IFERROR(__xludf.DUMMYFUNCTION("AI(""70
42
2
3
14
34
10
10
8
23
8
3
1
1
7
12
29
24
24
4
17
5
4
1
1
8
198
34
9
11
8
11
24
2
31
3
4
12
10
56
21
20
160
100
6
22
21
50
47
1
56
120
2
1
75
270
900g
50g
40
100g
15
1
11
144
10
2
9
44
8
34
32
5
4
15
8
19
40
15
20
35
13
25
25
14
5
18
10
6
4
1
3
1"&amp;"
5 RAM
5 RAM (+1 VRAC)
3 RAM
4 RAM
 1 RAM + 1 VRAC
1 VRAC
1 RAM + 1 VRAC
3 RAM
1 RAM
VRAC
220
3
3
3
3
2
2
3
3
40ml
1
60
40
3
1
2
54
58
5
17
16
200
240
4
9
13
1
180
720
200
16
2
23
140
267
3 RAM
4
4
9
4
2000
21
5
1
2
51
2
10
4 RAM
7
1
3
3
70
91
157
97
92
"&amp;"94
214
34
90
98
174
554
1 596
101
67
22
7
1247
216
20
50
194
146
397
3
1
2
1
1
1
2
1
825
163
12
8
156
101
60
156
40
8
33
19
10
7
8
1
2
5
50
100
50
400
217
50
150
127
4
31
1
1
1
2
3
12
103
3
1
1
3
2
3 tasses 3 sous-coupe 
8
20
2 paires
2
50
2
46
40
4
2
6
4"&amp;"
3
5
9
5
4
120"")"),"160")</f>
        <v>160</v>
      </c>
    </row>
    <row r="46">
      <c r="A46" s="3" t="s">
        <v>94</v>
      </c>
      <c r="B46" s="4" t="s">
        <v>95</v>
      </c>
      <c r="C46" s="4">
        <v>100.0</v>
      </c>
      <c r="D46" s="5" t="str">
        <f>IFERROR(__xludf.DUMMYFUNCTION("AI(""Écriture
Écriture
Écriture
Écriture
Écriture
Écriture
Écriture
Écriture
Écriture
Écriture
Écriture
Écriture
Écriture
Écriture
Écriture
Écriture
Écriture
Écriture
Écriture
Bureau
Bureau
Bureau
Écriture
Écriture
Écriture
Bureau
Bureau
Écriture
Bureau
É"&amp;"criture
Bureau
Bureau
Papeterie
Bureau
Papeterie
Bureau
Bureau
Papeterie
Papeterie
Papeterie
Écriture
Papeterie
Bureau
Bureau
Bureau
Bureau
Bureau
Bureau
Classement
Bureau
Papeterie
Bureau
Bureau
Bureau
Classement
Bureau
Bureau
Bureau
Bureau
Bureau
Bureau"&amp;"
Bureau
Bureau
Bureau
Bureau
Bureau
Papeterie
Bureau
Consommables
Bureau
Bureau
Consommables
Consommables
Bureau
Consommables
Consommables
Bureau
Bureau
Papeterie
Bureau
Bureau
Bureau
Bureau
Bureau
Bureau
Bureau
Bureau
Bureau
Bureau
Bureau"")"),"Bureau")</f>
        <v>Bureau</v>
      </c>
      <c r="E46" s="5" t="str">
        <f>IFERROR(__xludf.DUMMYFUNCTION("AI(""Armoire D"")"),"Armoire D")</f>
        <v>Armoire D</v>
      </c>
      <c r="F46" s="5" t="str">
        <f>IFERROR(__xludf.DUMMYFUNCTION("AI(""70
42
2
3
14
34
10
10
8
23
8
3
1
1
7
12
29
24
24
4
17
5
4
1
1
8
198
34
9
11
8
11
24
2
31
3
4
12
10
56
21
20
160
100
6
22
21
50
47
1
56
120
2
1
75
270
900g
50g
40
100g
15
1
11
144
10
2
9
44
8
34
32
5
4
15
8
19
40
15
20
35
13
25
25
14
5
18
10
6
4
1
3
1"&amp;"
5 RAM
5 RAM (+1 VRAC)
3 RAM
4 RAM
 1 RAM + 1 VRAC
1 VRAC
1 RAM + 1 VRAC
3 RAM
1 RAM
VRAC
220
3
3
3
3
2
2
3
3
40ml
1
60
40
3
1
2
54
58
5
17
16
200
240
4
9
13
1
180
720
200
16
2
23
140
267
3 RAM
4
4
9
4
2000
21
5
1
2
51
2
10
4 RAM
7
1
3
3
70
91
157
97
92
"&amp;"94
214
34
90
98
174
554
1 596
101
67
22
7
1247
216
20
50
194
146
397
3
1
2
1
1
1
2
1
825
163
12
8
156
101
60
156
40
8
33
19
10
7
8
1
2
5
50
100
50
400
217
50
150
127
4
31
1
1
1
2
3
12
103
3
1
1
3
2
3 tasses 3 sous-coupe 
8
20
2 paires
2
50
2
46
40
4
2
6
4"&amp;"
3
5
9
5
4
120"")"),"100")</f>
        <v>100</v>
      </c>
    </row>
    <row r="47">
      <c r="A47" s="3" t="s">
        <v>96</v>
      </c>
      <c r="B47" s="4" t="s">
        <v>97</v>
      </c>
      <c r="C47" s="4">
        <v>6.0</v>
      </c>
      <c r="D47" s="5" t="str">
        <f>IFERROR(__xludf.DUMMYFUNCTION("AI(""Écriture
Écriture
Écriture
Écriture
Écriture
Écriture
Écriture
Écriture
Écriture
Écriture
Écriture
Écriture
Écriture
Écriture
Écriture
Écriture
Écriture
Écriture
Écriture
Bureau
Bureau
Bureau
Écriture
Écriture
Écriture
Bureau
Bureau
Écriture
Bureau
É"&amp;"criture
Bureau
Bureau
Papeterie
Bureau
Papeterie
Bureau
Bureau
Papeterie
Papeterie
Papeterie
Écriture
Papeterie
Bureau
Bureau
Bureau
Bureau
Bureau
Bureau
Classement
Bureau
Papeterie
Bureau
Bureau
Bureau
Classement
Bureau
Bureau
Bureau
Bureau
Bureau
Bureau"&amp;"
Bureau
Bureau
Bureau
Bureau
Bureau
Papeterie
Bureau
Consommables
Bureau
Bureau
Consommables
Consommables
Bureau
Consommables
Consommables
Bureau
Bureau
Papeterie
Bureau
Bureau
Bureau
Bureau
Bureau
Bureau
Bureau
Bureau
Bureau
Bureau
Bureau"")"),"Bureau")</f>
        <v>Bureau</v>
      </c>
      <c r="E47" s="5" t="str">
        <f>IFERROR(__xludf.DUMMYFUNCTION("AI(""Armoire D"")"),"Armoire D")</f>
        <v>Armoire D</v>
      </c>
      <c r="F47" s="5" t="str">
        <f>IFERROR(__xludf.DUMMYFUNCTION("AI(""70
42
2
3
14
34
10
10
8
23
8
3
1
1
7
12
29
24
24
4
17
5
4
1
1
8
198
34
9
11
8
11
24
2
31
3
4
12
10
56
21
20
160
100
6
22
21
50
47
1
56
120
2
1
75
270
900g
50g
40
100g
15
1
11
144
10
2
9
44
8
34
32
5
4
15
8
19
40
15
20
35
13
25
25
14
5
18
10
6
4
1
3
1"&amp;"
5 RAM
5 RAM (+1 VRAC)
3 RAM
4 RAM
 1 RAM + 1 VRAC
1 VRAC
1 RAM + 1 VRAC
3 RAM
1 RAM
VRAC
220
3
3
3
3
2
2
3
3
40ml
1
60
40
3
1
2
54
58
5
17
16
200
240
4
9
13
1
180
720
200
16
2
23
140
267
3 RAM
4
4
9
4
2000
21
5
1
2
51
2
10
4 RAM
7
1
3
3
70
91
157
97
92
"&amp;"94
214
34
90
98
174
554
1 596
101
67
22
7
1247
216
20
50
194
146
397
3
1
2
1
1
1
2
1
825
163
12
8
156
101
60
156
40
8
33
19
10
7
8
1
2
5
50
100
50
400
217
50
150
127
4
31
1
1
1
2
3
12
103
3
1
1
3
2
3 tasses 3 sous-coupe 
8
20
2 paires
2
50
2
46
40
4
2
6
4"&amp;"
3
5
9
5
4
120"")"),"6")</f>
        <v>6</v>
      </c>
    </row>
    <row r="48">
      <c r="A48" s="3" t="s">
        <v>98</v>
      </c>
      <c r="B48" s="4" t="s">
        <v>99</v>
      </c>
      <c r="C48" s="4">
        <v>22.0</v>
      </c>
      <c r="D48" s="5" t="str">
        <f>IFERROR(__xludf.DUMMYFUNCTION("AI(""Écriture
Écriture
Écriture
Écriture
Écriture
Écriture
Écriture
Écriture
Écriture
Écriture
Écriture
Écriture
Écriture
Écriture
Écriture
Écriture
Écriture
Écriture
Écriture
Bureau
Bureau
Bureau
Écriture
Écriture
Écriture
Bureau
Bureau
Écriture
Bureau
É"&amp;"criture
Bureau
Bureau
Papeterie
Bureau
Papeterie
Bureau
Bureau
Papeterie
Papeterie
Papeterie
Écriture
Papeterie
Bureau
Bureau
Bureau
Bureau
Bureau
Bureau
Classement
Bureau
Papeterie
Bureau
Bureau
Bureau
Classement
Bureau
Bureau
Bureau
Bureau
Bureau
Bureau"&amp;"
Bureau
Bureau
Bureau
Bureau
Bureau
Papeterie
Bureau
Consommables
Bureau
Bureau
Consommables
Consommables
Bureau
Consommables
Consommables
Bureau
Bureau
Papeterie
Bureau
Bureau
Bureau
Bureau
Bureau
Bureau
Bureau
Bureau
Bureau
Bureau
Bureau"")"),"Bureau")</f>
        <v>Bureau</v>
      </c>
      <c r="E48" s="5" t="str">
        <f>IFERROR(__xludf.DUMMYFUNCTION("AI(""Armoire D"")"),"Armoire D")</f>
        <v>Armoire D</v>
      </c>
      <c r="F48" s="5" t="str">
        <f>IFERROR(__xludf.DUMMYFUNCTION("AI(""70
42
2
3
14
34
10
10
8
23
8
3
1
1
7
12
29
24
24
4
17
5
4
1
1
8
198
34
9
11
8
11
24
2
31
3
4
12
10
56
21
20
160
100
6
22
21
50
47
1
56
120
2
1
75
270
900g
50g
40
100g
15
1
11
144
10
2
9
44
8
34
32
5
4
15
8
19
40
15
20
35
13
25
25
14
5
18
10
6
4
1
3
1"&amp;"
5 RAM
5 RAM (+1 VRAC)
3 RAM
4 RAM
 1 RAM + 1 VRAC
1 VRAC
1 RAM + 1 VRAC
3 RAM
1 RAM
VRAC
220
3
3
3
3
2
2
3
3
40ml
1
60
40
3
1
2
54
58
5
17
16
200
240
4
9
13
1
180
720
200
16
2
23
140
267
3 RAM
4
4
9
4
2000
21
5
1
2
51
2
10
4 RAM
7
1
3
3
70
91
157
97
92
"&amp;"94
214
34
90
98
174
554
1 596
101
67
22
7
1247
216
20
50
194
146
397
3
1
2
1
1
1
2
1
825
163
12
8
156
101
60
156
40
8
33
19
10
7
8
1
2
5
50
100
50
400
217
50
150
127
4
31
1
1
1
2
3
12
103
3
1
1
3
2
3 tasses 3 sous-coupe 
8
20
2 paires
2
50
2
46
40
4
2
6
4"&amp;"
3
5
9
5
4
120"")"),"22")</f>
        <v>22</v>
      </c>
    </row>
    <row r="49">
      <c r="A49" s="3" t="s">
        <v>100</v>
      </c>
      <c r="B49" s="4" t="s">
        <v>101</v>
      </c>
      <c r="C49" s="4">
        <v>21.0</v>
      </c>
      <c r="D49" s="5" t="str">
        <f>IFERROR(__xludf.DUMMYFUNCTION("AI(""Écriture
Écriture
Écriture
Écriture
Écriture
Écriture
Écriture
Écriture
Écriture
Écriture
Écriture
Écriture
Écriture
Écriture
Écriture
Écriture
Écriture
Écriture
Écriture
Bureau
Bureau
Bureau
Écriture
Écriture
Écriture
Bureau
Bureau
Écriture
Bureau
É"&amp;"criture
Bureau
Bureau
Papeterie
Bureau
Papeterie
Bureau
Bureau
Papeterie
Papeterie
Papeterie
Écriture
Papeterie
Bureau
Bureau
Bureau
Bureau
Bureau
Bureau
Classement
Bureau
Papeterie
Bureau
Bureau
Bureau
Classement
Bureau
Bureau
Bureau
Bureau
Bureau
Bureau"&amp;"
Bureau
Bureau
Bureau
Bureau
Bureau
Papeterie
Bureau
Consommables
Bureau
Bureau
Consommables
Consommables
Bureau
Consommables
Consommables
Bureau
Bureau
Papeterie
Bureau
Bureau
Bureau
Bureau
Bureau
Bureau
Bureau
Bureau
Bureau
Bureau
Bureau"")"),"Bureau")</f>
        <v>Bureau</v>
      </c>
      <c r="E49" s="5" t="str">
        <f>IFERROR(__xludf.DUMMYFUNCTION("AI(""Armoire D"")"),"Armoire D")</f>
        <v>Armoire D</v>
      </c>
      <c r="F49" s="5" t="str">
        <f>IFERROR(__xludf.DUMMYFUNCTION("AI(""70
42
2
3
14
34
10
10
8
23
8
3
1
1
7
12
29
24
24
4
17
5
4
1
1
8
198
34
9
11
8
11
24
2
31
3
4
12
10
56
21
20
160
100
6
22
21
50
47
1
56
120
2
1
75
270
900g
50g
40
100g
15
1
11
144
10
2
9
44
8
34
32
5
4
15
8
19
40
15
20
35
13
25
25
14
5
18
10
6
4
1
3
1"&amp;"
5 RAM
5 RAM (+1 VRAC)
3 RAM
4 RAM
 1 RAM + 1 VRAC
1 VRAC
1 RAM + 1 VRAC
3 RAM
1 RAM
VRAC
220
3
3
3
3
2
2
3
3
40ml
1
60
40
3
1
2
54
58
5
17
16
200
240
4
9
13
1
180
720
200
16
2
23
140
267
3 RAM
4
4
9
4
2000
21
5
1
2
51
2
10
4 RAM
7
1
3
3
70
91
157
97
92
"&amp;"94
214
34
90
98
174
554
1 596
101
67
22
7
1247
216
20
50
194
146
397
3
1
2
1
1
1
2
1
825
163
12
8
156
101
60
156
40
8
33
19
10
7
8
1
2
5
50
100
50
400
217
50
150
127
4
31
1
1
1
2
3
12
103
3
1
1
3
2
3 tasses 3 sous-coupe 
8
20
2 paires
2
50
2
46
40
4
2
6
4"&amp;"
3
5
9
5
4
120"")"),"21")</f>
        <v>21</v>
      </c>
    </row>
    <row r="50">
      <c r="A50" s="7" t="s">
        <v>102</v>
      </c>
      <c r="B50" s="4" t="s">
        <v>103</v>
      </c>
      <c r="C50" s="4">
        <v>50.0</v>
      </c>
      <c r="D50" s="5" t="str">
        <f>IFERROR(__xludf.DUMMYFUNCTION("AI(""Écriture
Écriture
Écriture
Écriture
Écriture
Écriture
Écriture
Écriture
Écriture
Écriture
Écriture
Écriture
Écriture
Écriture
Écriture
Écriture
Écriture
Écriture
Écriture
Bureau
Bureau
Bureau
Écriture
Écriture
Écriture
Bureau
Bureau
Écriture
Bureau
É"&amp;"criture
Bureau
Bureau
Papeterie
Bureau
Papeterie
Bureau
Bureau
Papeterie
Papeterie
Papeterie
Écriture
Papeterie
Bureau
Bureau
Bureau
Bureau
Bureau
Bureau
Classement
Bureau
Papeterie
Bureau
Bureau
Bureau
Classement
Bureau
Bureau
Bureau
Bureau
Bureau
Bureau"&amp;"
Bureau
Bureau
Bureau
Bureau
Bureau
Papeterie
Bureau
Consommables
Bureau
Bureau
Consommables
Consommables
Bureau
Consommables
Consommables
Bureau
Bureau
Papeterie
Bureau
Bureau
Bureau
Bureau
Bureau
Bureau
Bureau
Bureau
Bureau
Bureau
Bureau"")"),"Bureau")</f>
        <v>Bureau</v>
      </c>
      <c r="E50" s="5" t="str">
        <f>IFERROR(__xludf.DUMMYFUNCTION("AI(""Armoire D"")"),"Armoire D")</f>
        <v>Armoire D</v>
      </c>
      <c r="F50" s="5" t="str">
        <f>IFERROR(__xludf.DUMMYFUNCTION("AI(""70
42
2
3
14
34
10
10
8
23
8
3
1
1
7
12
29
24
24
4
17
5
4
1
1
8
198
34
9
11
8
11
24
2
31
3
4
12
10
56
21
20
160
100
6
22
21
50
47
1
56
120
2
1
75
270
900g
50g
40
100g
15
1
11
144
10
2
9
44
8
34
32
5
4
15
8
19
40
15
20
35
13
25
25
14
5
18
10
6
4
1
3
1"&amp;"
5 RAM
5 RAM (+1 VRAC)
3 RAM
4 RAM
 1 RAM + 1 VRAC
1 VRAC
1 RAM + 1 VRAC
3 RAM
1 RAM
VRAC
220
3
3
3
3
2
2
3
3
40ml
1
60
40
3
1
2
54
58
5
17
16
200
240
4
9
13
1
180
720
200
16
2
23
140
267
3 RAM
4
4
9
4
2000
21
5
1
2
51
2
10
4 RAM
7
1
3
3
70
91
157
97
92
"&amp;"94
214
34
90
98
174
554
1 596
101
67
22
7
1247
216
20
50
194
146
397
3
1
2
1
1
1
2
1
825
163
12
8
156
101
60
156
40
8
33
19
10
7
8
1
2
5
50
100
50
400
217
50
150
127
4
31
1
1
1
2
3
12
103
3
1
1
3
2
3 tasses 3 sous-coupe 
8
20
2 paires
2
50
2
46
40
4
2
6
4"&amp;"
3
5
9
5
4
120"")"),"50")</f>
        <v>50</v>
      </c>
    </row>
    <row r="51">
      <c r="A51" s="3" t="s">
        <v>104</v>
      </c>
      <c r="B51" s="4" t="s">
        <v>105</v>
      </c>
      <c r="C51" s="4">
        <v>47.0</v>
      </c>
      <c r="D51" s="5" t="str">
        <f>IFERROR(__xludf.DUMMYFUNCTION("AI(""Écriture
Écriture
Écriture
Écriture
Écriture
Écriture
Écriture
Écriture
Écriture
Écriture
Écriture
Écriture
Écriture
Écriture
Écriture
Écriture
Écriture
Écriture
Écriture
Bureau
Bureau
Bureau
Écriture
Écriture
Écriture
Bureau
Bureau
Écriture
Bureau
É"&amp;"criture
Bureau
Bureau
Papeterie
Bureau
Papeterie
Bureau
Bureau
Papeterie
Papeterie
Papeterie
Écriture
Papeterie
Bureau
Bureau
Bureau
Bureau
Bureau
Bureau
Classement
Bureau
Papeterie
Bureau
Bureau
Bureau
Classement
Bureau
Bureau
Bureau
Bureau
Bureau
Bureau"&amp;"
Bureau
Bureau
Bureau
Bureau
Bureau
Papeterie
Bureau
Consommables
Bureau
Bureau
Consommables
Consommables
Bureau
Consommables
Consommables
Bureau
Bureau
Papeterie
Bureau
Bureau
Bureau
Bureau
Bureau
Bureau
Bureau
Bureau
Bureau
Bureau
Bureau"")"),"Classement")</f>
        <v>Classement</v>
      </c>
      <c r="E51" s="5" t="str">
        <f>IFERROR(__xludf.DUMMYFUNCTION("AI(""Armoire D"")"),"Armoire D")</f>
        <v>Armoire D</v>
      </c>
      <c r="F51" s="5" t="str">
        <f>IFERROR(__xludf.DUMMYFUNCTION("AI(""70
42
2
3
14
34
10
10
8
23
8
3
1
1
7
12
29
24
24
4
17
5
4
1
1
8
198
34
9
11
8
11
24
2
31
3
4
12
10
56
21
20
160
100
6
22
21
50
47
1
56
120
2
1
75
270
900g
50g
40
100g
15
1
11
144
10
2
9
44
8
34
32
5
4
15
8
19
40
15
20
35
13
25
25
14
5
18
10
6
4
1
3
1"&amp;"
5 RAM
5 RAM (+1 VRAC)
3 RAM
4 RAM
 1 RAM + 1 VRAC
1 VRAC
1 RAM + 1 VRAC
3 RAM
1 RAM
VRAC
220
3
3
3
3
2
2
3
3
40ml
1
60
40
3
1
2
54
58
5
17
16
200
240
4
9
13
1
180
720
200
16
2
23
140
267
3 RAM
4
4
9
4
2000
21
5
1
2
51
2
10
4 RAM
7
1
3
3
70
91
157
97
92
"&amp;"94
214
34
90
98
174
554
1 596
101
67
22
7
1247
216
20
50
194
146
397
3
1
2
1
1
1
2
1
825
163
12
8
156
101
60
156
40
8
33
19
10
7
8
1
2
5
50
100
50
400
217
50
150
127
4
31
1
1
1
2
3
12
103
3
1
1
3
2
3 tasses 3 sous-coupe 
8
20
2 paires
2
50
2
46
40
4
2
6
4"&amp;"
3
5
9
5
4
120"")"),"47")</f>
        <v>47</v>
      </c>
    </row>
    <row r="52">
      <c r="A52" s="3" t="s">
        <v>106</v>
      </c>
      <c r="B52" s="4" t="s">
        <v>107</v>
      </c>
      <c r="C52" s="4">
        <v>1.0</v>
      </c>
      <c r="D52" s="5" t="str">
        <f>IFERROR(__xludf.DUMMYFUNCTION("AI(""Écriture
Écriture
Écriture
Écriture
Écriture
Écriture
Écriture
Écriture
Écriture
Écriture
Écriture
Écriture
Écriture
Écriture
Écriture
Écriture
Écriture
Écriture
Écriture
Bureau
Bureau
Bureau
Écriture
Écriture
Écriture
Bureau
Bureau
Écriture
Bureau
É"&amp;"criture
Bureau
Bureau
Papeterie
Bureau
Papeterie
Bureau
Bureau
Papeterie
Papeterie
Papeterie
Écriture
Papeterie
Bureau
Bureau
Bureau
Bureau
Bureau
Bureau
Classement
Bureau
Papeterie
Bureau
Bureau
Bureau
Classement
Bureau
Bureau
Bureau
Bureau
Bureau
Bureau"&amp;"
Bureau
Bureau
Bureau
Bureau
Bureau
Papeterie
Bureau
Consommables
Bureau
Bureau
Consommables
Consommables
Bureau
Consommables
Consommables
Bureau
Bureau
Papeterie
Bureau
Bureau
Bureau
Bureau
Bureau
Bureau
Bureau
Bureau
Bureau
Bureau
Bureau"")"),"Bureau")</f>
        <v>Bureau</v>
      </c>
      <c r="E52" s="5" t="str">
        <f>IFERROR(__xludf.DUMMYFUNCTION("AI(""Armoire D"")"),"Armoire D")</f>
        <v>Armoire D</v>
      </c>
      <c r="F52" s="5" t="str">
        <f>IFERROR(__xludf.DUMMYFUNCTION("AI(""70
42
2
3
14
34
10
10
8
23
8
3
1
1
7
12
29
24
24
4
17
5
4
1
1
8
198
34
9
11
8
11
24
2
31
3
4
12
10
56
21
20
160
100
6
22
21
50
47
1
56
120
2
1
75
270
900g
50g
40
100g
15
1
11
144
10
2
9
44
8
34
32
5
4
15
8
19
40
15
20
35
13
25
25
14
5
18
10
6
4
1
3
1"&amp;"
5 RAM
5 RAM (+1 VRAC)
3 RAM
4 RAM
 1 RAM + 1 VRAC
1 VRAC
1 RAM + 1 VRAC
3 RAM
1 RAM
VRAC
220
3
3
3
3
2
2
3
3
40ml
1
60
40
3
1
2
54
58
5
17
16
200
240
4
9
13
1
180
720
200
16
2
23
140
267
3 RAM
4
4
9
4
2000
21
5
1
2
51
2
10
4 RAM
7
1
3
3
70
91
157
97
92
"&amp;"94
214
34
90
98
174
554
1 596
101
67
22
7
1247
216
20
50
194
146
397
3
1
2
1
1
1
2
1
825
163
12
8
156
101
60
156
40
8
33
19
10
7
8
1
2
5
50
100
50
400
217
50
150
127
4
31
1
1
1
2
3
12
103
3
1
1
3
2
3 tasses 3 sous-coupe 
8
20
2 paires
2
50
2
46
40
4
2
6
4"&amp;"
3
5
9
5
4
120"")"),"1")</f>
        <v>1</v>
      </c>
    </row>
    <row r="53">
      <c r="A53" s="3" t="s">
        <v>108</v>
      </c>
      <c r="B53" s="4" t="s">
        <v>109</v>
      </c>
      <c r="C53" s="4">
        <v>56.0</v>
      </c>
      <c r="D53" s="5" t="str">
        <f>IFERROR(__xludf.DUMMYFUNCTION("AI(""Écriture
Écriture
Écriture
Écriture
Écriture
Écriture
Écriture
Écriture
Écriture
Écriture
Écriture
Écriture
Écriture
Écriture
Écriture
Écriture
Écriture
Écriture
Écriture
Bureau
Bureau
Bureau
Écriture
Écriture
Écriture
Bureau
Bureau
Écriture
Bureau
É"&amp;"criture
Bureau
Bureau
Papeterie
Bureau
Papeterie
Bureau
Bureau
Papeterie
Papeterie
Papeterie
Écriture
Papeterie
Bureau
Bureau
Bureau
Bureau
Bureau
Bureau
Classement
Bureau
Papeterie
Bureau
Bureau
Bureau
Classement
Bureau
Bureau
Bureau
Bureau
Bureau
Bureau"&amp;"
Bureau
Bureau
Bureau
Bureau
Bureau
Papeterie
Bureau
Consommables
Bureau
Bureau
Consommables
Consommables
Bureau
Consommables
Consommables
Bureau
Bureau
Papeterie
Bureau
Bureau
Bureau
Bureau
Bureau
Bureau
Bureau
Bureau
Bureau
Bureau
Bureau"")"),"Papeterie")</f>
        <v>Papeterie</v>
      </c>
      <c r="E53" s="5" t="str">
        <f>IFERROR(__xludf.DUMMYFUNCTION("AI(""Armoire D"")"),"Armoire D")</f>
        <v>Armoire D</v>
      </c>
      <c r="F53" s="5" t="str">
        <f>IFERROR(__xludf.DUMMYFUNCTION("AI(""70
42
2
3
14
34
10
10
8
23
8
3
1
1
7
12
29
24
24
4
17
5
4
1
1
8
198
34
9
11
8
11
24
2
31
3
4
12
10
56
21
20
160
100
6
22
21
50
47
1
56
120
2
1
75
270
900g
50g
40
100g
15
1
11
144
10
2
9
44
8
34
32
5
4
15
8
19
40
15
20
35
13
25
25
14
5
18
10
6
4
1
3
1"&amp;"
5 RAM
5 RAM (+1 VRAC)
3 RAM
4 RAM
 1 RAM + 1 VRAC
1 VRAC
1 RAM + 1 VRAC
3 RAM
1 RAM
VRAC
220
3
3
3
3
2
2
3
3
40ml
1
60
40
3
1
2
54
58
5
17
16
200
240
4
9
13
1
180
720
200
16
2
23
140
267
3 RAM
4
4
9
4
2000
21
5
1
2
51
2
10
4 RAM
7
1
3
3
70
91
157
97
92
"&amp;"94
214
34
90
98
174
554
1 596
101
67
22
7
1247
216
20
50
194
146
397
3
1
2
1
1
1
2
1
825
163
12
8
156
101
60
156
40
8
33
19
10
7
8
1
2
5
50
100
50
400
217
50
150
127
4
31
1
1
1
2
3
12
103
3
1
1
3
2
3 tasses 3 sous-coupe 
8
20
2 paires
2
50
2
46
40
4
2
6
4"&amp;"
3
5
9
5
4
120"")"),"56")</f>
        <v>56</v>
      </c>
    </row>
    <row r="54">
      <c r="A54" s="3" t="s">
        <v>110</v>
      </c>
      <c r="B54" s="4" t="s">
        <v>111</v>
      </c>
      <c r="C54" s="4">
        <v>120.0</v>
      </c>
      <c r="D54" s="5" t="str">
        <f>IFERROR(__xludf.DUMMYFUNCTION("AI(""Écriture
Écriture
Écriture
Écriture
Écriture
Écriture
Écriture
Écriture
Écriture
Écriture
Écriture
Écriture
Écriture
Écriture
Écriture
Écriture
Écriture
Écriture
Écriture
Bureau
Bureau
Bureau
Écriture
Écriture
Écriture
Bureau
Bureau
Écriture
Bureau
É"&amp;"criture
Bureau
Bureau
Papeterie
Bureau
Papeterie
Bureau
Bureau
Papeterie
Papeterie
Papeterie
Écriture
Papeterie
Bureau
Bureau
Bureau
Bureau
Bureau
Bureau
Classement
Bureau
Papeterie
Bureau
Bureau
Bureau
Classement
Bureau
Bureau
Bureau
Bureau
Bureau
Bureau"&amp;"
Bureau
Bureau
Bureau
Bureau
Bureau
Papeterie
Bureau
Consommables
Bureau
Bureau
Consommables
Consommables
Bureau
Consommables
Consommables
Bureau
Bureau
Papeterie
Bureau
Bureau
Bureau
Bureau
Bureau
Bureau
Bureau
Bureau
Bureau
Bureau
Bureau"")"),"Bureau")</f>
        <v>Bureau</v>
      </c>
      <c r="E54" s="5" t="str">
        <f>IFERROR(__xludf.DUMMYFUNCTION("AI(""Armoire D"")"),"Armoire D")</f>
        <v>Armoire D</v>
      </c>
      <c r="F54" s="5" t="str">
        <f>IFERROR(__xludf.DUMMYFUNCTION("AI(""70
42
2
3
14
34
10
10
8
23
8
3
1
1
7
12
29
24
24
4
17
5
4
1
1
8
198
34
9
11
8
11
24
2
31
3
4
12
10
56
21
20
160
100
6
22
21
50
47
1
56
120
2
1
75
270
900g
50g
40
100g
15
1
11
144
10
2
9
44
8
34
32
5
4
15
8
19
40
15
20
35
13
25
25
14
5
18
10
6
4
1
3
1"&amp;"
5 RAM
5 RAM (+1 VRAC)
3 RAM
4 RAM
 1 RAM + 1 VRAC
1 VRAC
1 RAM + 1 VRAC
3 RAM
1 RAM
VRAC
220
3
3
3
3
2
2
3
3
40ml
1
60
40
3
1
2
54
58
5
17
16
200
240
4
9
13
1
180
720
200
16
2
23
140
267
3 RAM
4
4
9
4
2000
21
5
1
2
51
2
10
4 RAM
7
1
3
3
70
91
157
97
92
"&amp;"94
214
34
90
98
174
554
1 596
101
67
22
7
1247
216
20
50
194
146
397
3
1
2
1
1
1
2
1
825
163
12
8
156
101
60
156
40
8
33
19
10
7
8
1
2
5
50
100
50
400
217
50
150
127
4
31
1
1
1
2
3
12
103
3
1
1
3
2
3 tasses 3 sous-coupe 
8
20
2 paires
2
50
2
46
40
4
2
6
4"&amp;"
3
5
9
5
4
120"")"),"120")</f>
        <v>120</v>
      </c>
    </row>
    <row r="55">
      <c r="A55" s="3" t="s">
        <v>112</v>
      </c>
      <c r="B55" s="4" t="s">
        <v>113</v>
      </c>
      <c r="C55" s="4">
        <v>2.0</v>
      </c>
      <c r="D55" s="5" t="str">
        <f>IFERROR(__xludf.DUMMYFUNCTION("AI(""Écriture
Écriture
Écriture
Écriture
Écriture
Écriture
Écriture
Écriture
Écriture
Écriture
Écriture
Écriture
Écriture
Écriture
Écriture
Écriture
Écriture
Écriture
Écriture
Bureau
Bureau
Bureau
Écriture
Écriture
Écriture
Bureau
Bureau
Écriture
Bureau
É"&amp;"criture
Bureau
Bureau
Papeterie
Bureau
Papeterie
Bureau
Bureau
Papeterie
Papeterie
Papeterie
Écriture
Papeterie
Bureau
Bureau
Bureau
Bureau
Bureau
Bureau
Classement
Bureau
Papeterie
Bureau
Bureau
Bureau
Classement
Bureau
Bureau
Bureau
Bureau
Bureau
Bureau"&amp;"
Bureau
Bureau
Bureau
Bureau
Bureau
Papeterie
Bureau
Consommables
Bureau
Bureau
Consommables
Consommables
Bureau
Consommables
Consommables
Bureau
Bureau
Papeterie
Bureau
Bureau
Bureau
Bureau
Bureau
Bureau
Bureau
Bureau
Bureau
Bureau
Bureau"")"),"Bureau")</f>
        <v>Bureau</v>
      </c>
      <c r="E55" s="5" t="str">
        <f>IFERROR(__xludf.DUMMYFUNCTION("AI(""Armoire D"")"),"Armoire D")</f>
        <v>Armoire D</v>
      </c>
      <c r="F55" s="5" t="str">
        <f>IFERROR(__xludf.DUMMYFUNCTION("AI(""70
42
2
3
14
34
10
10
8
23
8
3
1
1
7
12
29
24
24
4
17
5
4
1
1
8
198
34
9
11
8
11
24
2
31
3
4
12
10
56
21
20
160
100
6
22
21
50
47
1
56
120
2
1
75
270
900g
50g
40
100g
15
1
11
144
10
2
9
44
8
34
32
5
4
15
8
19
40
15
20
35
13
25
25
14
5
18
10
6
4
1
3
1"&amp;"
5 RAM
5 RAM (+1 VRAC)
3 RAM
4 RAM
 1 RAM + 1 VRAC
1 VRAC
1 RAM + 1 VRAC
3 RAM
1 RAM
VRAC
220
3
3
3
3
2
2
3
3
40ml
1
60
40
3
1
2
54
58
5
17
16
200
240
4
9
13
1
180
720
200
16
2
23
140
267
3 RAM
4
4
9
4
2000
21
5
1
2
51
2
10
4 RAM
7
1
3
3
70
91
157
97
92
"&amp;"94
214
34
90
98
174
554
1 596
101
67
22
7
1247
216
20
50
194
146
397
3
1
2
1
1
1
2
1
825
163
12
8
156
101
60
156
40
8
33
19
10
7
8
1
2
5
50
100
50
400
217
50
150
127
4
31
1
1
1
2
3
12
103
3
1
1
3
2
3 tasses 3 sous-coupe 
8
20
2 paires
2
50
2
46
40
4
2
6
4"&amp;"
3
5
9
5
4
120"")"),"2")</f>
        <v>2</v>
      </c>
    </row>
    <row r="56">
      <c r="A56" s="7" t="s">
        <v>114</v>
      </c>
      <c r="B56" s="4" t="s">
        <v>115</v>
      </c>
      <c r="C56" s="4">
        <v>1.0</v>
      </c>
      <c r="D56" s="5" t="str">
        <f>IFERROR(__xludf.DUMMYFUNCTION("AI(""Écriture
Écriture
Écriture
Écriture
Écriture
Écriture
Écriture
Écriture
Écriture
Écriture
Écriture
Écriture
Écriture
Écriture
Écriture
Écriture
Écriture
Écriture
Écriture
Bureau
Bureau
Bureau
Écriture
Écriture
Écriture
Bureau
Bureau
Écriture
Bureau
É"&amp;"criture
Bureau
Bureau
Papeterie
Bureau
Papeterie
Bureau
Bureau
Papeterie
Papeterie
Papeterie
Écriture
Papeterie
Bureau
Bureau
Bureau
Bureau
Bureau
Bureau
Classement
Bureau
Papeterie
Bureau
Bureau
Bureau
Classement
Bureau
Bureau
Bureau
Bureau
Bureau
Bureau"&amp;"
Bureau
Bureau
Bureau
Bureau
Bureau
Papeterie
Bureau
Consommables
Bureau
Bureau
Consommables
Consommables
Bureau
Consommables
Consommables
Bureau
Bureau
Papeterie
Bureau
Bureau
Bureau
Bureau
Bureau
Bureau
Bureau
Bureau
Bureau
Bureau
Bureau"")"),"Bureau")</f>
        <v>Bureau</v>
      </c>
      <c r="E56" s="5" t="str">
        <f>IFERROR(__xludf.DUMMYFUNCTION("AI(""Armoire D"")"),"Armoire D")</f>
        <v>Armoire D</v>
      </c>
      <c r="F56" s="5" t="str">
        <f>IFERROR(__xludf.DUMMYFUNCTION("AI(""70
42
2
3
14
34
10
10
8
23
8
3
1
1
7
12
29
24
24
4
17
5
4
1
1
8
198
34
9
11
8
11
24
2
31
3
4
12
10
56
21
20
160
100
6
22
21
50
47
1
56
120
2
1
75
270
900g
50g
40
100g
15
1
11
144
10
2
9
44
8
34
32
5
4
15
8
19
40
15
20
35
13
25
25
14
5
18
10
6
4
1
3
1"&amp;"
5 RAM
5 RAM (+1 VRAC)
3 RAM
4 RAM
 1 RAM + 1 VRAC
1 VRAC
1 RAM + 1 VRAC
3 RAM
1 RAM
VRAC
220
3
3
3
3
2
2
3
3
40ml
1
60
40
3
1
2
54
58
5
17
16
200
240
4
9
13
1
180
720
200
16
2
23
140
267
3 RAM
4
4
9
4
2000
21
5
1
2
51
2
10
4 RAM
7
1
3
3
70
91
157
97
92
"&amp;"94
214
34
90
98
174
554
1 596
101
67
22
7
1247
216
20
50
194
146
397
3
1
2
1
1
1
2
1
825
163
12
8
156
101
60
156
40
8
33
19
10
7
8
1
2
5
50
100
50
400
217
50
150
127
4
31
1
1
1
2
3
12
103
3
1
1
3
2
3 tasses 3 sous-coupe 
8
20
2 paires
2
50
2
46
40
4
2
6
4"&amp;"
3
5
9
5
4
120"")"),"1")</f>
        <v>1</v>
      </c>
    </row>
    <row r="57">
      <c r="A57" s="3" t="s">
        <v>116</v>
      </c>
      <c r="B57" s="4" t="s">
        <v>117</v>
      </c>
      <c r="C57" s="4">
        <v>75.0</v>
      </c>
      <c r="D57" s="5" t="str">
        <f>IFERROR(__xludf.DUMMYFUNCTION("AI(""Écriture
Écriture
Écriture
Écriture
Écriture
Écriture
Écriture
Écriture
Écriture
Écriture
Écriture
Écriture
Écriture
Écriture
Écriture
Écriture
Écriture
Écriture
Écriture
Bureau
Bureau
Bureau
Écriture
Écriture
Écriture
Bureau
Bureau
Écriture
Bureau
É"&amp;"criture
Bureau
Bureau
Papeterie
Bureau
Papeterie
Bureau
Bureau
Papeterie
Papeterie
Papeterie
Écriture
Papeterie
Bureau
Bureau
Bureau
Bureau
Bureau
Bureau
Classement
Bureau
Papeterie
Bureau
Bureau
Bureau
Classement
Bureau
Bureau
Bureau
Bureau
Bureau
Bureau"&amp;"
Bureau
Bureau
Bureau
Bureau
Bureau
Papeterie
Bureau
Consommables
Bureau
Bureau
Consommables
Consommables
Bureau
Consommables
Consommables
Bureau
Bureau
Papeterie
Bureau
Bureau
Bureau
Bureau
Bureau
Bureau
Bureau
Bureau
Bureau
Bureau
Bureau"")"),"Classement")</f>
        <v>Classement</v>
      </c>
      <c r="E57" s="5" t="str">
        <f>IFERROR(__xludf.DUMMYFUNCTION("AI(""Armoire D"")"),"Armoire D")</f>
        <v>Armoire D</v>
      </c>
      <c r="F57" s="5" t="str">
        <f>IFERROR(__xludf.DUMMYFUNCTION("AI(""70
42
2
3
14
34
10
10
8
23
8
3
1
1
7
12
29
24
24
4
17
5
4
1
1
8
198
34
9
11
8
11
24
2
31
3
4
12
10
56
21
20
160
100
6
22
21
50
47
1
56
120
2
1
75
270
900g
50g
40
100g
15
1
11
144
10
2
9
44
8
34
32
5
4
15
8
19
40
15
20
35
13
25
25
14
5
18
10
6
4
1
3
1"&amp;"
5 RAM
5 RAM (+1 VRAC)
3 RAM
4 RAM
 1 RAM + 1 VRAC
1 VRAC
1 RAM + 1 VRAC
3 RAM
1 RAM
VRAC
220
3
3
3
3
2
2
3
3
40ml
1
60
40
3
1
2
54
58
5
17
16
200
240
4
9
13
1
180
720
200
16
2
23
140
267
3 RAM
4
4
9
4
2000
21
5
1
2
51
2
10
4 RAM
7
1
3
3
70
91
157
97
92
"&amp;"94
214
34
90
98
174
554
1 596
101
67
22
7
1247
216
20
50
194
146
397
3
1
2
1
1
1
2
1
825
163
12
8
156
101
60
156
40
8
33
19
10
7
8
1
2
5
50
100
50
400
217
50
150
127
4
31
1
1
1
2
3
12
103
3
1
1
3
2
3 tasses 3 sous-coupe 
8
20
2 paires
2
50
2
46
40
4
2
6
4"&amp;"
3
5
9
5
4
120"")"),"75")</f>
        <v>75</v>
      </c>
    </row>
    <row r="58">
      <c r="A58" s="7" t="s">
        <v>118</v>
      </c>
      <c r="B58" s="4" t="s">
        <v>119</v>
      </c>
      <c r="C58" s="4">
        <v>270.0</v>
      </c>
      <c r="D58" s="5" t="str">
        <f>IFERROR(__xludf.DUMMYFUNCTION("AI(""Écriture
Écriture
Écriture
Écriture
Écriture
Écriture
Écriture
Écriture
Écriture
Écriture
Écriture
Écriture
Écriture
Écriture
Écriture
Écriture
Écriture
Écriture
Écriture
Bureau
Bureau
Bureau
Écriture
Écriture
Écriture
Bureau
Bureau
Écriture
Bureau
É"&amp;"criture
Bureau
Bureau
Papeterie
Bureau
Papeterie
Bureau
Bureau
Papeterie
Papeterie
Papeterie
Écriture
Papeterie
Bureau
Bureau
Bureau
Bureau
Bureau
Bureau
Classement
Bureau
Papeterie
Bureau
Bureau
Bureau
Classement
Bureau
Bureau
Bureau
Bureau
Bureau
Bureau"&amp;"
Bureau
Bureau
Bureau
Bureau
Bureau
Papeterie
Bureau
Consommables
Bureau
Bureau
Consommables
Consommables
Bureau
Consommables
Consommables
Bureau
Bureau
Papeterie
Bureau
Bureau
Bureau
Bureau
Bureau
Bureau
Bureau
Bureau
Bureau
Bureau
Bureau"")"),"Bureau")</f>
        <v>Bureau</v>
      </c>
      <c r="E58" s="5" t="str">
        <f>IFERROR(__xludf.DUMMYFUNCTION("AI(""Armoire D"")"),"Armoire D")</f>
        <v>Armoire D</v>
      </c>
      <c r="F58" s="5" t="str">
        <f>IFERROR(__xludf.DUMMYFUNCTION("AI(""70
42
2
3
14
34
10
10
8
23
8
3
1
1
7
12
29
24
24
4
17
5
4
1
1
8
198
34
9
11
8
11
24
2
31
3
4
12
10
56
21
20
160
100
6
22
21
50
47
1
56
120
2
1
75
270
900g
50g
40
100g
15
1
11
144
10
2
9
44
8
34
32
5
4
15
8
19
40
15
20
35
13
25
25
14
5
18
10
6
4
1
3
1"&amp;"
5 RAM
5 RAM (+1 VRAC)
3 RAM
4 RAM
 1 RAM + 1 VRAC
1 VRAC
1 RAM + 1 VRAC
3 RAM
1 RAM
VRAC
220
3
3
3
3
2
2
3
3
40ml
1
60
40
3
1
2
54
58
5
17
16
200
240
4
9
13
1
180
720
200
16
2
23
140
267
3 RAM
4
4
9
4
2000
21
5
1
2
51
2
10
4 RAM
7
1
3
3
70
91
157
97
92
"&amp;"94
214
34
90
98
174
554
1 596
101
67
22
7
1247
216
20
50
194
146
397
3
1
2
1
1
1
2
1
825
163
12
8
156
101
60
156
40
8
33
19
10
7
8
1
2
5
50
100
50
400
217
50
150
127
4
31
1
1
1
2
3
12
103
3
1
1
3
2
3 tasses 3 sous-coupe 
8
20
2 paires
2
50
2
46
40
4
2
6
4"&amp;"
3
5
9
5
4
120"")"),"270")</f>
        <v>270</v>
      </c>
    </row>
    <row r="59">
      <c r="A59" s="7" t="s">
        <v>120</v>
      </c>
      <c r="B59" s="4" t="s">
        <v>121</v>
      </c>
      <c r="C59" s="4">
        <v>900.0</v>
      </c>
      <c r="D59" s="5" t="str">
        <f>IFERROR(__xludf.DUMMYFUNCTION("AI(""Écriture
Écriture
Écriture
Écriture
Écriture
Écriture
Écriture
Écriture
Écriture
Écriture
Écriture
Écriture
Écriture
Écriture
Écriture
Écriture
Écriture
Écriture
Écriture
Bureau
Bureau
Bureau
Écriture
Écriture
Écriture
Bureau
Bureau
Écriture
Bureau
É"&amp;"criture
Bureau
Bureau
Papeterie
Bureau
Papeterie
Bureau
Bureau
Papeterie
Papeterie
Papeterie
Écriture
Papeterie
Bureau
Bureau
Bureau
Bureau
Bureau
Bureau
Classement
Bureau
Papeterie
Bureau
Bureau
Bureau
Classement
Bureau
Bureau
Bureau
Bureau
Bureau
Bureau"&amp;"
Bureau
Bureau
Bureau
Bureau
Bureau
Papeterie
Bureau
Consommables
Bureau
Bureau
Consommables
Consommables
Bureau
Consommables
Consommables
Bureau
Bureau
Papeterie
Bureau
Bureau
Bureau
Bureau
Bureau
Bureau
Bureau
Bureau
Bureau
Bureau
Bureau"")"),"Bureau")</f>
        <v>Bureau</v>
      </c>
      <c r="E59" s="5" t="str">
        <f>IFERROR(__xludf.DUMMYFUNCTION("AI(""Armoire D"")"),"Armoire D")</f>
        <v>Armoire D</v>
      </c>
      <c r="F59" s="4">
        <v>900.0</v>
      </c>
    </row>
    <row r="60">
      <c r="A60" s="7" t="s">
        <v>122</v>
      </c>
      <c r="B60" s="4" t="s">
        <v>123</v>
      </c>
      <c r="C60" s="4" t="s">
        <v>124</v>
      </c>
      <c r="D60" s="5" t="str">
        <f>IFERROR(__xludf.DUMMYFUNCTION("AI(""Écriture
Écriture
Écriture
Écriture
Écriture
Écriture
Écriture
Écriture
Écriture
Écriture
Écriture
Écriture
Écriture
Écriture
Écriture
Écriture
Écriture
Écriture
Écriture
Bureau
Bureau
Bureau
Écriture
Écriture
Écriture
Bureau
Bureau
Écriture
Bureau
É"&amp;"criture
Bureau
Bureau
Papeterie
Bureau
Papeterie
Bureau
Bureau
Papeterie
Papeterie
Papeterie
Écriture
Papeterie
Bureau
Bureau
Bureau
Bureau
Bureau
Bureau
Classement
Bureau
Papeterie
Bureau
Bureau
Bureau
Classement
Bureau
Bureau
Bureau
Bureau
Bureau
Bureau"&amp;"
Bureau
Bureau
Bureau
Bureau
Bureau
Papeterie
Bureau
Consommables
Bureau
Bureau
Consommables
Consommables
Bureau
Consommables
Consommables
Bureau
Bureau
Papeterie
Bureau
Bureau
Bureau
Bureau
Bureau
Bureau
Bureau
Bureau
Bureau
Bureau
Bureau"")"),"Bureau")</f>
        <v>Bureau</v>
      </c>
      <c r="E60" s="5" t="str">
        <f>IFERROR(__xludf.DUMMYFUNCTION("AI(""Armoire D"")"),"Armoire D")</f>
        <v>Armoire D</v>
      </c>
      <c r="F60" s="4">
        <v>50.0</v>
      </c>
    </row>
    <row r="61">
      <c r="A61" s="3" t="s">
        <v>125</v>
      </c>
      <c r="B61" s="4" t="s">
        <v>126</v>
      </c>
      <c r="C61" s="4">
        <v>40.0</v>
      </c>
      <c r="D61" s="5" t="str">
        <f>IFERROR(__xludf.DUMMYFUNCTION("AI(""Écriture
Écriture
Écriture
Écriture
Écriture
Écriture
Écriture
Écriture
Écriture
Écriture
Écriture
Écriture
Écriture
Écriture
Écriture
Écriture
Écriture
Écriture
Écriture
Bureau
Bureau
Bureau
Écriture
Écriture
Écriture
Bureau
Bureau
Écriture
Bureau
É"&amp;"criture
Bureau
Bureau
Papeterie
Bureau
Papeterie
Bureau
Bureau
Papeterie
Papeterie
Papeterie
Écriture
Papeterie
Bureau
Bureau
Bureau
Bureau
Bureau
Bureau
Classement
Bureau
Papeterie
Bureau
Bureau
Bureau
Classement
Bureau
Bureau
Bureau
Bureau
Bureau
Bureau"&amp;"
Bureau
Bureau
Bureau
Bureau
Bureau
Papeterie
Bureau
Consommables
Bureau
Bureau
Consommables
Consommables
Bureau
Consommables
Consommables
Bureau
Bureau
Papeterie
Bureau
Bureau
Bureau
Bureau
Bureau
Bureau
Bureau
Bureau
Bureau
Bureau
Bureau"")"),"Bureau")</f>
        <v>Bureau</v>
      </c>
      <c r="E61" s="5" t="str">
        <f>IFERROR(__xludf.DUMMYFUNCTION("AI(""Armoire D"")"),"Armoire D")</f>
        <v>Armoire D</v>
      </c>
      <c r="F61" s="5" t="str">
        <f>IFERROR(__xludf.DUMMYFUNCTION("AI(""70
42
2
3
14
34
10
10
8
23
8
3
1
1
7
12
29
24
24
4
17
5
4
1
1
8
198
34
9
11
8
11
24
2
31
3
4
12
10
56
21
20
160
100
6
22
21
50
47
1
56
120
2
1
75
270
900g
50g
40
100g
15
1
11
144
10
2
9
44
8
34
32
5
4
15
8
19
40
15
20
35
13
25
25
14
5
18
10
6
4
1
3
1"&amp;"
5 RAM
5 RAM (+1 VRAC)
3 RAM
4 RAM
 1 RAM + 1 VRAC
1 VRAC
1 RAM + 1 VRAC
3 RAM
1 RAM
VRAC
220
3
3
3
3
2
2
3
3
40ml
1
60
40
3
1
2
54
58
5
17
16
200
240
4
9
13
1
180
720
200
16
2
23
140
267
3 RAM
4
4
9
4
2000
21
5
1
2
51
2
10
4 RAM
7
1
3
3
70
91
157
97
92
"&amp;"94
214
34
90
98
174
554
1 596
101
67
22
7
1247
216
20
50
194
146
397
3
1
2
1
1
1
2
1
825
163
12
8
156
101
60
156
40
8
33
19
10
7
8
1
2
5
50
100
50
400
217
50
150
127
4
31
1
1
1
2
3
12
103
3
1
1
3
2
3 tasses 3 sous-coupe 
8
20
2 paires
2
50
2
46
40
4
2
6
4"&amp;"
3
5
9
5
4
120"")"),"40")</f>
        <v>40</v>
      </c>
    </row>
    <row r="62">
      <c r="A62" s="7" t="s">
        <v>127</v>
      </c>
      <c r="B62" s="4" t="s">
        <v>128</v>
      </c>
      <c r="C62" s="4">
        <v>100.0</v>
      </c>
      <c r="D62" s="5" t="str">
        <f>IFERROR(__xludf.DUMMYFUNCTION("AI(""Écriture
Écriture
Écriture
Écriture
Écriture
Écriture
Écriture
Écriture
Écriture
Écriture
Écriture
Écriture
Écriture
Écriture
Écriture
Écriture
Écriture
Écriture
Écriture
Bureau
Bureau
Bureau
Écriture
Écriture
Écriture
Bureau
Bureau
Écriture
Bureau
É"&amp;"criture
Bureau
Bureau
Papeterie
Bureau
Papeterie
Bureau
Bureau
Papeterie
Papeterie
Papeterie
Écriture
Papeterie
Bureau
Bureau
Bureau
Bureau
Bureau
Bureau
Classement
Bureau
Papeterie
Bureau
Bureau
Bureau
Classement
Bureau
Bureau
Bureau
Bureau
Bureau
Bureau"&amp;"
Bureau
Bureau
Bureau
Bureau
Bureau
Papeterie
Bureau
Consommables
Bureau
Bureau
Consommables
Consommables
Bureau
Consommables
Consommables
Bureau
Bureau
Papeterie
Bureau
Bureau
Bureau
Bureau
Bureau
Bureau
Bureau
Bureau
Bureau
Bureau
Bureau"")"),"Bureau")</f>
        <v>Bureau</v>
      </c>
      <c r="E62" s="5" t="str">
        <f>IFERROR(__xludf.DUMMYFUNCTION("AI(""Armoire D"")"),"Armoire D")</f>
        <v>Armoire D</v>
      </c>
      <c r="F62" s="4">
        <v>100.0</v>
      </c>
    </row>
    <row r="63">
      <c r="A63" s="3" t="s">
        <v>129</v>
      </c>
      <c r="B63" s="4" t="s">
        <v>130</v>
      </c>
      <c r="C63" s="4">
        <v>15.0</v>
      </c>
      <c r="D63" s="5" t="str">
        <f>IFERROR(__xludf.DUMMYFUNCTION("AI(""Écriture
Écriture
Écriture
Écriture
Écriture
Écriture
Écriture
Écriture
Écriture
Écriture
Écriture
Écriture
Écriture
Écriture
Écriture
Écriture
Écriture
Écriture
Écriture
Bureau
Bureau
Bureau
Écriture
Écriture
Écriture
Bureau
Bureau
Écriture
Bureau
É"&amp;"criture
Bureau
Bureau
Papeterie
Bureau
Papeterie
Bureau
Bureau
Papeterie
Papeterie
Papeterie
Écriture
Papeterie
Bureau
Bureau
Bureau
Bureau
Bureau
Bureau
Classement
Bureau
Papeterie
Bureau
Bureau
Bureau
Classement
Bureau
Bureau
Bureau
Bureau
Bureau
Bureau"&amp;"
Bureau
Bureau
Bureau
Bureau
Bureau
Papeterie
Bureau
Consommables
Bureau
Bureau
Consommables
Consommables
Bureau
Consommables
Consommables
Bureau
Bureau
Papeterie
Bureau
Bureau
Bureau
Bureau
Bureau
Bureau
Bureau
Bureau
Bureau
Bureau
Bureau"")"),"Bureau")</f>
        <v>Bureau</v>
      </c>
      <c r="E63" s="5" t="str">
        <f>IFERROR(__xludf.DUMMYFUNCTION("AI(""Armoire D"")"),"Armoire D")</f>
        <v>Armoire D</v>
      </c>
      <c r="F63" s="5" t="str">
        <f>IFERROR(__xludf.DUMMYFUNCTION("AI(""70
42
2
3
14
34
10
10
8
23
8
3
1
1
7
12
29
24
24
4
17
5
4
1
1
8
198
34
9
11
8
11
24
2
31
3
4
12
10
56
21
20
160
100
6
22
21
50
47
1
56
120
2
1
75
270
900g
50g
40
100g
15
1
11
144
10
2
9
44
8
34
32
5
4
15
8
19
40
15
20
35
13
25
25
14
5
18
10
6
4
1
3
1"&amp;"
5 RAM
5 RAM (+1 VRAC)
3 RAM
4 RAM
 1 RAM + 1 VRAC
1 VRAC
1 RAM + 1 VRAC
3 RAM
1 RAM
VRAC
220
3
3
3
3
2
2
3
3
40ml
1
60
40
3
1
2
54
58
5
17
16
200
240
4
9
13
1
180
720
200
16
2
23
140
267
3 RAM
4
4
9
4
2000
21
5
1
2
51
2
10
4 RAM
7
1
3
3
70
91
157
97
92
"&amp;"94
214
34
90
98
174
554
1 596
101
67
22
7
1247
216
20
50
194
146
397
3
1
2
1
1
1
2
1
825
163
12
8
156
101
60
156
40
8
33
19
10
7
8
1
2
5
50
100
50
400
217
50
150
127
4
31
1
1
1
2
3
12
103
3
1
1
3
2
3 tasses 3 sous-coupe 
8
20
2 paires
2
50
2
46
40
4
2
6
4"&amp;"
3
5
9
5
4
120"")"),"15")</f>
        <v>15</v>
      </c>
    </row>
    <row r="64">
      <c r="A64" s="3" t="s">
        <v>131</v>
      </c>
      <c r="B64" s="4" t="s">
        <v>132</v>
      </c>
      <c r="C64" s="4">
        <v>1.0</v>
      </c>
      <c r="D64" s="5" t="str">
        <f>IFERROR(__xludf.DUMMYFUNCTION("AI(""Écriture
Écriture
Écriture
Écriture
Écriture
Écriture
Écriture
Écriture
Écriture
Écriture
Écriture
Écriture
Écriture
Écriture
Écriture
Écriture
Écriture
Écriture
Écriture
Bureau
Bureau
Bureau
Écriture
Écriture
Écriture
Bureau
Bureau
Écriture
Bureau
É"&amp;"criture
Bureau
Bureau
Papeterie
Bureau
Papeterie
Bureau
Bureau
Papeterie
Papeterie
Papeterie
Écriture
Papeterie
Bureau
Bureau
Bureau
Bureau
Bureau
Bureau
Classement
Bureau
Papeterie
Bureau
Bureau
Bureau
Classement
Bureau
Bureau
Bureau
Bureau
Bureau
Bureau"&amp;"
Bureau
Bureau
Bureau
Bureau
Bureau
Papeterie
Bureau
Consommables
Bureau
Bureau
Consommables
Consommables
Bureau
Consommables
Consommables
Bureau
Bureau
Papeterie
Bureau
Bureau
Bureau
Bureau
Bureau
Bureau
Bureau
Bureau
Bureau
Bureau
Bureau"")"),"Bureau")</f>
        <v>Bureau</v>
      </c>
      <c r="E64" s="5" t="str">
        <f>IFERROR(__xludf.DUMMYFUNCTION("AI(""Armoire D"")"),"Armoire D")</f>
        <v>Armoire D</v>
      </c>
      <c r="F64" s="5" t="str">
        <f>IFERROR(__xludf.DUMMYFUNCTION("AI(""70
42
2
3
14
34
10
10
8
23
8
3
1
1
7
12
29
24
24
4
17
5
4
1
1
8
198
34
9
11
8
11
24
2
31
3
4
12
10
56
21
20
160
100
6
22
21
50
47
1
56
120
2
1
75
270
900g
50g
40
100g
15
1
11
144
10
2
9
44
8
34
32
5
4
15
8
19
40
15
20
35
13
25
25
14
5
18
10
6
4
1
3
1"&amp;"
5 RAM
5 RAM (+1 VRAC)
3 RAM
4 RAM
 1 RAM + 1 VRAC
1 VRAC
1 RAM + 1 VRAC
3 RAM
1 RAM
VRAC
220
3
3
3
3
2
2
3
3
40ml
1
60
40
3
1
2
54
58
5
17
16
200
240
4
9
13
1
180
720
200
16
2
23
140
267
3 RAM
4
4
9
4
2000
21
5
1
2
51
2
10
4 RAM
7
1
3
3
70
91
157
97
92
"&amp;"94
214
34
90
98
174
554
1 596
101
67
22
7
1247
216
20
50
194
146
397
3
1
2
1
1
1
2
1
825
163
12
8
156
101
60
156
40
8
33
19
10
7
8
1
2
5
50
100
50
400
217
50
150
127
4
31
1
1
1
2
3
12
103
3
1
1
3
2
3 tasses 3 sous-coupe 
8
20
2 paires
2
50
2
46
40
4
2
6
4"&amp;"
3
5
9
5
4
120"")"),"1")</f>
        <v>1</v>
      </c>
    </row>
    <row r="65">
      <c r="A65" s="3" t="s">
        <v>133</v>
      </c>
      <c r="B65" s="4" t="s">
        <v>134</v>
      </c>
      <c r="C65" s="4">
        <v>11.0</v>
      </c>
      <c r="D65" s="5" t="str">
        <f>IFERROR(__xludf.DUMMYFUNCTION("AI(""Écriture
Écriture
Écriture
Écriture
Écriture
Écriture
Écriture
Écriture
Écriture
Écriture
Écriture
Écriture
Écriture
Écriture
Écriture
Écriture
Écriture
Écriture
Écriture
Bureau
Bureau
Bureau
Écriture
Écriture
Écriture
Bureau
Bureau
Écriture
Bureau
É"&amp;"criture
Bureau
Bureau
Papeterie
Bureau
Papeterie
Bureau
Bureau
Papeterie
Papeterie
Papeterie
Écriture
Papeterie
Bureau
Bureau
Bureau
Bureau
Bureau
Bureau
Classement
Bureau
Papeterie
Bureau
Bureau
Bureau
Classement
Bureau
Bureau
Bureau
Bureau
Bureau
Bureau"&amp;"
Bureau
Bureau
Bureau
Bureau
Bureau
Papeterie
Bureau
Consommables
Bureau
Bureau
Consommables
Consommables
Bureau
Consommables
Consommables
Bureau
Bureau
Papeterie
Bureau
Bureau
Bureau
Bureau
Bureau
Bureau
Bureau
Bureau
Bureau
Bureau
Bureau"")"),"Bureau")</f>
        <v>Bureau</v>
      </c>
      <c r="E65" s="5" t="str">
        <f>IFERROR(__xludf.DUMMYFUNCTION("AI(""Armoire D"")"),"Armoire D")</f>
        <v>Armoire D</v>
      </c>
      <c r="F65" s="5" t="str">
        <f>IFERROR(__xludf.DUMMYFUNCTION("AI(""70
42
2
3
14
34
10
10
8
23
8
3
1
1
7
12
29
24
24
4
17
5
4
1
1
8
198
34
9
11
8
11
24
2
31
3
4
12
10
56
21
20
160
100
6
22
21
50
47
1
56
120
2
1
75
270
900g
50g
40
100g
15
1
11
144
10
2
9
44
8
34
32
5
4
15
8
19
40
15
20
35
13
25
25
14
5
18
10
6
4
1
3
1"&amp;"
5 RAM
5 RAM (+1 VRAC)
3 RAM
4 RAM
 1 RAM + 1 VRAC
1 VRAC
1 RAM + 1 VRAC
3 RAM
1 RAM
VRAC
220
3
3
3
3
2
2
3
3
40ml
1
60
40
3
1
2
54
58
5
17
16
200
240
4
9
13
1
180
720
200
16
2
23
140
267
3 RAM
4
4
9
4
2000
21
5
1
2
51
2
10
4 RAM
7
1
3
3
70
91
157
97
92
"&amp;"94
214
34
90
98
174
554
1 596
101
67
22
7
1247
216
20
50
194
146
397
3
1
2
1
1
1
2
1
825
163
12
8
156
101
60
156
40
8
33
19
10
7
8
1
2
5
50
100
50
400
217
50
150
127
4
31
1
1
1
2
3
12
103
3
1
1
3
2
3 tasses 3 sous-coupe 
8
20
2 paires
2
50
2
46
40
4
2
6
4"&amp;"
3
5
9
5
4
120"")"),"11")</f>
        <v>11</v>
      </c>
    </row>
    <row r="66">
      <c r="A66" s="3" t="s">
        <v>135</v>
      </c>
      <c r="B66" s="4" t="s">
        <v>136</v>
      </c>
      <c r="C66" s="4">
        <v>144.0</v>
      </c>
      <c r="D66" s="5" t="str">
        <f>IFERROR(__xludf.DUMMYFUNCTION("AI(""Écriture
Écriture
Écriture
Écriture
Écriture
Écriture
Écriture
Écriture
Écriture
Écriture
Écriture
Écriture
Écriture
Écriture
Écriture
Écriture
Écriture
Écriture
Écriture
Bureau
Bureau
Bureau
Écriture
Écriture
Écriture
Bureau
Bureau
Écriture
Bureau
É"&amp;"criture
Bureau
Bureau
Papeterie
Bureau
Papeterie
Bureau
Bureau
Papeterie
Papeterie
Papeterie
Écriture
Papeterie
Bureau
Bureau
Bureau
Bureau
Bureau
Bureau
Classement
Bureau
Papeterie
Bureau
Bureau
Bureau
Classement
Bureau
Bureau
Bureau
Bureau
Bureau
Bureau"&amp;"
Bureau
Bureau
Bureau
Bureau
Bureau
Papeterie
Bureau
Consommables
Bureau
Bureau
Consommables
Consommables
Bureau
Consommables
Consommables
Bureau
Bureau
Papeterie
Bureau
Bureau
Bureau
Bureau
Bureau
Bureau
Bureau
Bureau
Bureau
Bureau
Bureau"")"),"Bureau")</f>
        <v>Bureau</v>
      </c>
      <c r="E66" s="5" t="str">
        <f>IFERROR(__xludf.DUMMYFUNCTION("AI(""Armoire D"")"),"Armoire D")</f>
        <v>Armoire D</v>
      </c>
      <c r="F66" s="5" t="str">
        <f>IFERROR(__xludf.DUMMYFUNCTION("AI(""70
42
2
3
14
34
10
10
8
23
8
3
1
1
7
12
29
24
24
4
17
5
4
1
1
8
198
34
9
11
8
11
24
2
31
3
4
12
10
56
21
20
160
100
6
22
21
50
47
1
56
120
2
1
75
270
900g
50g
40
100g
15
1
11
144
10
2
9
44
8
34
32
5
4
15
8
19
40
15
20
35
13
25
25
14
5
18
10
6
4
1
3
1"&amp;"
5 RAM
5 RAM (+1 VRAC)
3 RAM
4 RAM
 1 RAM + 1 VRAC
1 VRAC
1 RAM + 1 VRAC
3 RAM
1 RAM
VRAC
220
3
3
3
3
2
2
3
3
40ml
1
60
40
3
1
2
54
58
5
17
16
200
240
4
9
13
1
180
720
200
16
2
23
140
267
3 RAM
4
4
9
4
2000
21
5
1
2
51
2
10
4 RAM
7
1
3
3
70
91
157
97
92
"&amp;"94
214
34
90
98
174
554
1 596
101
67
22
7
1247
216
20
50
194
146
397
3
1
2
1
1
1
2
1
825
163
12
8
156
101
60
156
40
8
33
19
10
7
8
1
2
5
50
100
50
400
217
50
150
127
4
31
1
1
1
2
3
12
103
3
1
1
3
2
3 tasses 3 sous-coupe 
8
20
2 paires
2
50
2
46
40
4
2
6
4"&amp;"
3
5
9
5
4
120"")"),"144")</f>
        <v>144</v>
      </c>
    </row>
    <row r="67">
      <c r="A67" s="3" t="s">
        <v>137</v>
      </c>
      <c r="B67" s="4" t="s">
        <v>138</v>
      </c>
      <c r="C67" s="4">
        <v>10.0</v>
      </c>
      <c r="D67" s="5" t="str">
        <f>IFERROR(__xludf.DUMMYFUNCTION("AI(""Écriture
Écriture
Écriture
Écriture
Écriture
Écriture
Écriture
Écriture
Écriture
Écriture
Écriture
Écriture
Écriture
Écriture
Écriture
Écriture
Écriture
Écriture
Écriture
Bureau
Bureau
Bureau
Écriture
Écriture
Écriture
Bureau
Bureau
Écriture
Bureau
É"&amp;"criture
Bureau
Bureau
Papeterie
Bureau
Papeterie
Bureau
Bureau
Papeterie
Papeterie
Papeterie
Écriture
Papeterie
Bureau
Bureau
Bureau
Bureau
Bureau
Bureau
Classement
Bureau
Papeterie
Bureau
Bureau
Bureau
Classement
Bureau
Bureau
Bureau
Bureau
Bureau
Bureau"&amp;"
Bureau
Bureau
Bureau
Bureau
Bureau
Papeterie
Bureau
Consommables
Bureau
Bureau
Consommables
Consommables
Bureau
Consommables
Consommables
Bureau
Bureau
Papeterie
Bureau
Bureau
Bureau
Bureau
Bureau
Bureau
Bureau
Bureau
Bureau
Bureau
Bureau"")"),"Bureau")</f>
        <v>Bureau</v>
      </c>
      <c r="E67" s="5" t="str">
        <f>IFERROR(__xludf.DUMMYFUNCTION("AI(""Armoire D"")"),"Armoire D")</f>
        <v>Armoire D</v>
      </c>
      <c r="F67" s="5" t="str">
        <f>IFERROR(__xludf.DUMMYFUNCTION("AI(""70
42
2
3
14
34
10
10
8
23
8
3
1
1
7
12
29
24
24
4
17
5
4
1
1
8
198
34
9
11
8
11
24
2
31
3
4
12
10
56
21
20
160
100
6
22
21
50
47
1
56
120
2
1
75
270
900g
50g
40
100g
15
1
11
144
10
2
9
44
8
34
32
5
4
15
8
19
40
15
20
35
13
25
25
14
5
18
10
6
4
1
3
1"&amp;"
5 RAM
5 RAM (+1 VRAC)
3 RAM
4 RAM
 1 RAM + 1 VRAC
1 VRAC
1 RAM + 1 VRAC
3 RAM
1 RAM
VRAC
220
3
3
3
3
2
2
3
3
40ml
1
60
40
3
1
2
54
58
5
17
16
200
240
4
9
13
1
180
720
200
16
2
23
140
267
3 RAM
4
4
9
4
2000
21
5
1
2
51
2
10
4 RAM
7
1
3
3
70
91
157
97
92
"&amp;"94
214
34
90
98
174
554
1 596
101
67
22
7
1247
216
20
50
194
146
397
3
1
2
1
1
1
2
1
825
163
12
8
156
101
60
156
40
8
33
19
10
7
8
1
2
5
50
100
50
400
217
50
150
127
4
31
1
1
1
2
3
12
103
3
1
1
3
2
3 tasses 3 sous-coupe 
8
20
2 paires
2
50
2
46
40
4
2
6
4"&amp;"
3
5
9
5
4
120"")"),"10")</f>
        <v>10</v>
      </c>
    </row>
    <row r="68">
      <c r="A68" s="7" t="s">
        <v>139</v>
      </c>
      <c r="B68" s="4" t="s">
        <v>140</v>
      </c>
      <c r="C68" s="4">
        <v>2.0</v>
      </c>
      <c r="D68" s="5" t="str">
        <f>IFERROR(__xludf.DUMMYFUNCTION("AI(""Écriture
Écriture
Écriture
Écriture
Écriture
Écriture
Écriture
Écriture
Écriture
Écriture
Écriture
Écriture
Écriture
Écriture
Écriture
Écriture
Écriture
Écriture
Écriture
Bureau
Bureau
Bureau
Écriture
Écriture
Écriture
Bureau
Bureau
Écriture
Bureau
É"&amp;"criture
Bureau
Bureau
Papeterie
Bureau
Papeterie
Bureau
Bureau
Papeterie
Papeterie
Papeterie
Écriture
Papeterie
Bureau
Bureau
Bureau
Bureau
Bureau
Bureau
Classement
Bureau
Papeterie
Bureau
Bureau
Bureau
Classement
Bureau
Bureau
Bureau
Bureau
Bureau
Bureau"&amp;"
Bureau
Bureau
Bureau
Bureau
Bureau
Papeterie
Bureau
Consommables
Bureau
Bureau
Consommables
Consommables
Bureau
Consommables
Consommables
Bureau
Bureau
Papeterie
Bureau
Bureau
Bureau
Bureau
Bureau
Bureau
Bureau
Bureau
Bureau
Bureau
Bureau"")"),"Bureau")</f>
        <v>Bureau</v>
      </c>
      <c r="E68" s="5" t="str">
        <f>IFERROR(__xludf.DUMMYFUNCTION("AI(""Armoire D"")"),"Armoire D")</f>
        <v>Armoire D</v>
      </c>
      <c r="F68" s="5" t="str">
        <f>IFERROR(__xludf.DUMMYFUNCTION("AI(""70
42
2
3
14
34
10
10
8
23
8
3
1
1
7
12
29
24
24
4
17
5
4
1
1
8
198
34
9
11
8
11
24
2
31
3
4
12
10
56
21
20
160
100
6
22
21
50
47
1
56
120
2
1
75
270
900g
50g
40
100g
15
1
11
144
10
2
9
44
8
34
32
5
4
15
8
19
40
15
20
35
13
25
25
14
5
18
10
6
4
1
3
1"&amp;"
5 RAM
5 RAM (+1 VRAC)
3 RAM
4 RAM
 1 RAM + 1 VRAC
1 VRAC
1 RAM + 1 VRAC
3 RAM
1 RAM
VRAC
220
3
3
3
3
2
2
3
3
40ml
1
60
40
3
1
2
54
58
5
17
16
200
240
4
9
13
1
180
720
200
16
2
23
140
267
3 RAM
4
4
9
4
2000
21
5
1
2
51
2
10
4 RAM
7
1
3
3
70
91
157
97
92
"&amp;"94
214
34
90
98
174
554
1 596
101
67
22
7
1247
216
20
50
194
146
397
3
1
2
1
1
1
2
1
825
163
12
8
156
101
60
156
40
8
33
19
10
7
8
1
2
5
50
100
50
400
217
50
150
127
4
31
1
1
1
2
3
12
103
3
1
1
3
2
3 tasses 3 sous-coupe 
8
20
2 paires
2
50
2
46
40
4
2
6
4"&amp;"
3
5
9
5
4
120"")"),"2")</f>
        <v>2</v>
      </c>
    </row>
    <row r="69">
      <c r="A69" s="3" t="s">
        <v>141</v>
      </c>
      <c r="B69" s="4" t="s">
        <v>142</v>
      </c>
      <c r="C69" s="4">
        <v>9.0</v>
      </c>
      <c r="D69" s="5" t="str">
        <f>IFERROR(__xludf.DUMMYFUNCTION("AI(""Écriture
Écriture
Écriture
Écriture
Écriture
Écriture
Écriture
Écriture
Écriture
Écriture
Écriture
Écriture
Écriture
Écriture
Écriture
Écriture
Écriture
Écriture
Écriture
Bureau
Bureau
Bureau
Écriture
Écriture
Écriture
Bureau
Bureau
Écriture
Bureau
É"&amp;"criture
Bureau
Bureau
Papeterie
Bureau
Papeterie
Bureau
Bureau
Papeterie
Papeterie
Papeterie
Écriture
Papeterie
Bureau
Bureau
Bureau
Bureau
Bureau
Bureau
Classement
Bureau
Papeterie
Bureau
Bureau
Bureau
Classement
Bureau
Bureau
Bureau
Bureau
Bureau
Bureau"&amp;"
Bureau
Bureau
Bureau
Bureau
Bureau
Papeterie
Bureau
Consommables
Bureau
Bureau
Consommables
Consommables
Bureau
Consommables
Consommables
Bureau
Bureau
Papeterie
Bureau
Bureau
Bureau
Bureau
Bureau
Bureau
Bureau
Bureau
Bureau
Bureau
Bureau"")"),"Papeterie")</f>
        <v>Papeterie</v>
      </c>
      <c r="E69" s="5" t="str">
        <f>IFERROR(__xludf.DUMMYFUNCTION("AI(""Armoire D"")"),"Armoire D")</f>
        <v>Armoire D</v>
      </c>
      <c r="F69" s="5" t="str">
        <f>IFERROR(__xludf.DUMMYFUNCTION("AI(""70
42
2
3
14
34
10
10
8
23
8
3
1
1
7
12
29
24
24
4
17
5
4
1
1
8
198
34
9
11
8
11
24
2
31
3
4
12
10
56
21
20
160
100
6
22
21
50
47
1
56
120
2
1
75
270
900g
50g
40
100g
15
1
11
144
10
2
9
44
8
34
32
5
4
15
8
19
40
15
20
35
13
25
25
14
5
18
10
6
4
1
3
1"&amp;"
5 RAM
5 RAM (+1 VRAC)
3 RAM
4 RAM
 1 RAM + 1 VRAC
1 VRAC
1 RAM + 1 VRAC
3 RAM
1 RAM
VRAC
220
3
3
3
3
2
2
3
3
40ml
1
60
40
3
1
2
54
58
5
17
16
200
240
4
9
13
1
180
720
200
16
2
23
140
267
3 RAM
4
4
9
4
2000
21
5
1
2
51
2
10
4 RAM
7
1
3
3
70
91
157
97
92
"&amp;"94
214
34
90
98
174
554
1 596
101
67
22
7
1247
216
20
50
194
146
397
3
1
2
1
1
1
2
1
825
163
12
8
156
101
60
156
40
8
33
19
10
7
8
1
2
5
50
100
50
400
217
50
150
127
4
31
1
1
1
2
3
12
103
3
1
1
3
2
3 tasses 3 sous-coupe 
8
20
2 paires
2
50
2
46
40
4
2
6
4"&amp;"
3
5
9
5
4
120"")"),"9")</f>
        <v>9</v>
      </c>
    </row>
    <row r="70">
      <c r="A70" s="3" t="s">
        <v>143</v>
      </c>
      <c r="B70" s="4" t="s">
        <v>144</v>
      </c>
      <c r="C70" s="4">
        <v>44.0</v>
      </c>
      <c r="D70" s="5" t="str">
        <f>IFERROR(__xludf.DUMMYFUNCTION("AI(""Écriture
Écriture
Écriture
Écriture
Écriture
Écriture
Écriture
Écriture
Écriture
Écriture
Écriture
Écriture
Écriture
Écriture
Écriture
Écriture
Écriture
Écriture
Écriture
Bureau
Bureau
Bureau
Écriture
Écriture
Écriture
Bureau
Bureau
Écriture
Bureau
É"&amp;"criture
Bureau
Bureau
Papeterie
Bureau
Papeterie
Bureau
Bureau
Papeterie
Papeterie
Papeterie
Écriture
Papeterie
Bureau
Bureau
Bureau
Bureau
Bureau
Bureau
Classement
Bureau
Papeterie
Bureau
Bureau
Bureau
Classement
Bureau
Bureau
Bureau
Bureau
Bureau
Bureau"&amp;"
Bureau
Bureau
Bureau
Bureau
Bureau
Papeterie
Bureau
Consommables
Bureau
Bureau
Consommables
Consommables
Bureau
Consommables
Consommables
Bureau
Bureau
Papeterie
Bureau
Bureau
Bureau
Bureau
Bureau
Bureau
Bureau
Bureau
Bureau
Bureau
Bureau"")"),"Bureau")</f>
        <v>Bureau</v>
      </c>
      <c r="E70" s="5" t="str">
        <f>IFERROR(__xludf.DUMMYFUNCTION("AI(""Armoire D"")"),"Armoire D")</f>
        <v>Armoire D</v>
      </c>
      <c r="F70" s="5" t="str">
        <f>IFERROR(__xludf.DUMMYFUNCTION("AI(""70
42
2
3
14
34
10
10
8
23
8
3
1
1
7
12
29
24
24
4
17
5
4
1
1
8
198
34
9
11
8
11
24
2
31
3
4
12
10
56
21
20
160
100
6
22
21
50
47
1
56
120
2
1
75
270
900g
50g
40
100g
15
1
11
144
10
2
9
44
8
34
32
5
4
15
8
19
40
15
20
35
13
25
25
14
5
18
10
6
4
1
3
1"&amp;"
5 RAM
5 RAM (+1 VRAC)
3 RAM
4 RAM
 1 RAM + 1 VRAC
1 VRAC
1 RAM + 1 VRAC
3 RAM
1 RAM
VRAC
220
3
3
3
3
2
2
3
3
40ml
1
60
40
3
1
2
54
58
5
17
16
200
240
4
9
13
1
180
720
200
16
2
23
140
267
3 RAM
4
4
9
4
2000
21
5
1
2
51
2
10
4 RAM
7
1
3
3
70
91
157
97
92
"&amp;"94
214
34
90
98
174
554
1 596
101
67
22
7
1247
216
20
50
194
146
397
3
1
2
1
1
1
2
1
825
163
12
8
156
101
60
156
40
8
33
19
10
7
8
1
2
5
50
100
50
400
217
50
150
127
4
31
1
1
1
2
3
12
103
3
1
1
3
2
3 tasses 3 sous-coupe 
8
20
2 paires
2
50
2
46
40
4
2
6
4"&amp;"
3
5
9
5
4
120"")"),"44")</f>
        <v>44</v>
      </c>
    </row>
    <row r="71">
      <c r="A71" s="3" t="s">
        <v>145</v>
      </c>
      <c r="B71" s="4" t="s">
        <v>146</v>
      </c>
      <c r="C71" s="4">
        <v>8.0</v>
      </c>
      <c r="D71" s="4" t="s">
        <v>147</v>
      </c>
      <c r="E71" s="5" t="str">
        <f>IFERROR(__xludf.DUMMYFUNCTION("AI(""Armoire D"")"),"Armoire D")</f>
        <v>Armoire D</v>
      </c>
      <c r="F71" s="5" t="str">
        <f>IFERROR(__xludf.DUMMYFUNCTION("AI(""70
42
2
3
14
34
10
10
8
23
8
3
1
1
7
12
29
24
24
4
17
5
4
1
1
8
198
34
9
11
8
11
24
2
31
3
4
12
10
56
21
20
160
100
6
22
21
50
47
1
56
120
2
1
75
270
900g
50g
40
100g
15
1
11
144
10
2
9
44
8
34
32
5
4
15
8
19
40
15
20
35
13
25
25
14
5
18
10
6
4
1
3
1"&amp;"
5 RAM
5 RAM (+1 VRAC)
3 RAM
4 RAM
 1 RAM + 1 VRAC
1 VRAC
1 RAM + 1 VRAC
3 RAM
1 RAM
VRAC
220
3
3
3
3
2
2
3
3
40ml
1
60
40
3
1
2
54
58
5
17
16
200
240
4
9
13
1
180
720
200
16
2
23
140
267
3 RAM
4
4
9
4
2000
21
5
1
2
51
2
10
4 RAM
7
1
3
3
70
91
157
97
92
"&amp;"94
214
34
90
98
174
554
1 596
101
67
22
7
1247
216
20
50
194
146
397
3
1
2
1
1
1
2
1
825
163
12
8
156
101
60
156
40
8
33
19
10
7
8
1
2
5
50
100
50
400
217
50
150
127
4
31
1
1
1
2
3
12
103
3
1
1
3
2
3 tasses 3 sous-coupe 
8
20
2 paires
2
50
2
46
40
4
2
6
4"&amp;"
3
5
9
5
4
120"")"),"8")</f>
        <v>8</v>
      </c>
    </row>
    <row r="72">
      <c r="A72" s="3" t="s">
        <v>148</v>
      </c>
      <c r="B72" s="4" t="s">
        <v>149</v>
      </c>
      <c r="C72" s="4">
        <v>34.0</v>
      </c>
      <c r="D72" s="5" t="str">
        <f>IFERROR(__xludf.DUMMYFUNCTION("AI(""Écriture
Écriture
Écriture
Écriture
Écriture
Écriture
Écriture
Écriture
Écriture
Écriture
Écriture
Écriture
Écriture
Écriture
Écriture
Écriture
Écriture
Écriture
Écriture
Bureau
Bureau
Bureau
Écriture
Écriture
Écriture
Bureau
Bureau
Écriture
Bureau
É"&amp;"criture
Bureau
Bureau
Papeterie
Bureau
Papeterie
Bureau
Bureau
Papeterie
Papeterie
Papeterie
Écriture
Papeterie
Bureau
Bureau
Bureau
Bureau
Bureau
Bureau
Classement
Bureau
Papeterie
Bureau
Bureau
Bureau
Classement
Bureau
Bureau
Bureau
Bureau
Bureau
Bureau"&amp;"
Bureau
Bureau
Bureau
Bureau
Bureau
Papeterie
Bureau
Consommables
Bureau
Bureau
Consommables
Consommables
Bureau
Consommables
Consommables
Bureau
Bureau
Papeterie
Bureau
Bureau
Bureau
Bureau
Bureau
Bureau
Bureau
Bureau
Bureau
Bureau
Bureau"")"),"Bureau")</f>
        <v>Bureau</v>
      </c>
      <c r="E72" s="5" t="str">
        <f>IFERROR(__xludf.DUMMYFUNCTION("AI(""Armoire D"")"),"Armoire D")</f>
        <v>Armoire D</v>
      </c>
      <c r="F72" s="5" t="str">
        <f>IFERROR(__xludf.DUMMYFUNCTION("AI(""70
42
2
3
14
34
10
10
8
23
8
3
1
1
7
12
29
24
24
4
17
5
4
1
1
8
198
34
9
11
8
11
24
2
31
3
4
12
10
56
21
20
160
100
6
22
21
50
47
1
56
120
2
1
75
270
900g
50g
40
100g
15
1
11
144
10
2
9
44
8
34
32
5
4
15
8
19
40
15
20
35
13
25
25
14
5
18
10
6
4
1
3
1"&amp;"
5 RAM
5 RAM (+1 VRAC)
3 RAM
4 RAM
 1 RAM + 1 VRAC
1 VRAC
1 RAM + 1 VRAC
3 RAM
1 RAM
VRAC
220
3
3
3
3
2
2
3
3
40ml
1
60
40
3
1
2
54
58
5
17
16
200
240
4
9
13
1
180
720
200
16
2
23
140
267
3 RAM
4
4
9
4
2000
21
5
1
2
51
2
10
4 RAM
7
1
3
3
70
91
157
97
92
"&amp;"94
214
34
90
98
174
554
1 596
101
67
22
7
1247
216
20
50
194
146
397
3
1
2
1
1
1
2
1
825
163
12
8
156
101
60
156
40
8
33
19
10
7
8
1
2
5
50
100
50
400
217
50
150
127
4
31
1
1
1
2
3
12
103
3
1
1
3
2
3 tasses 3 sous-coupe 
8
20
2 paires
2
50
2
46
40
4
2
6
4"&amp;"
3
5
9
5
4
120"")"),"8")</f>
        <v>8</v>
      </c>
    </row>
    <row r="73">
      <c r="A73" s="3" t="s">
        <v>150</v>
      </c>
      <c r="B73" s="4" t="s">
        <v>151</v>
      </c>
      <c r="C73" s="4">
        <v>32.0</v>
      </c>
      <c r="D73" s="5" t="str">
        <f>IFERROR(__xludf.DUMMYFUNCTION("AI(""Écriture
Écriture
Écriture
Écriture
Écriture
Écriture
Écriture
Écriture
Écriture
Écriture
Écriture
Écriture
Écriture
Écriture
Écriture
Écriture
Écriture
Écriture
Écriture
Bureau
Bureau
Bureau
Écriture
Écriture
Écriture
Bureau
Bureau
Écriture
Bureau
É"&amp;"criture
Bureau
Bureau
Papeterie
Bureau
Papeterie
Bureau
Bureau
Papeterie
Papeterie
Papeterie
Écriture
Papeterie
Bureau
Bureau
Bureau
Bureau
Bureau
Bureau
Classement
Bureau
Papeterie
Bureau
Bureau
Bureau
Classement
Bureau
Bureau
Bureau
Bureau
Bureau
Bureau"&amp;"
Bureau
Bureau
Bureau
Bureau
Bureau
Papeterie
Bureau
Consommables
Bureau
Bureau
Consommables
Consommables
Bureau
Consommables
Consommables
Bureau
Bureau
Papeterie
Bureau
Bureau
Bureau
Bureau
Bureau
Bureau
Bureau
Bureau
Bureau
Bureau
Bureau"")"),"Bureau")</f>
        <v>Bureau</v>
      </c>
      <c r="E73" s="5" t="str">
        <f>IFERROR(__xludf.DUMMYFUNCTION("AI(""Armoire D"")"),"Armoire D")</f>
        <v>Armoire D</v>
      </c>
      <c r="F73" s="5" t="str">
        <f>IFERROR(__xludf.DUMMYFUNCTION("AI(""70
42
2
3
14
34
10
10
8
23
8
3
1
1
7
12
29
24
24
4
17
5
4
1
1
8
198
34
9
11
8
11
24
2
31
3
4
12
10
56
21
20
160
100
6
22
21
50
47
1
56
120
2
1
75
270
900g
50g
40
100g
15
1
11
144
10
2
9
44
8
34
32
5
4
15
8
19
40
15
20
35
13
25
25
14
5
18
10
6
4
1
3
1"&amp;"
5 RAM
5 RAM (+1 VRAC)
3 RAM
4 RAM
 1 RAM + 1 VRAC
1 VRAC
1 RAM + 1 VRAC
3 RAM
1 RAM
VRAC
220
3
3
3
3
2
2
3
3
40ml
1
60
40
3
1
2
54
58
5
17
16
200
240
4
9
13
1
180
720
200
16
2
23
140
267
3 RAM
4
4
9
4
2000
21
5
1
2
51
2
10
4 RAM
7
1
3
3
70
91
157
97
92
"&amp;"94
214
34
90
98
174
554
1 596
101
67
22
7
1247
216
20
50
194
146
397
3
1
2
1
1
1
2
1
825
163
12
8
156
101
60
156
40
8
33
19
10
7
8
1
2
5
50
100
50
400
217
50
150
127
4
31
1
1
1
2
3
12
103
3
1
1
3
2
3 tasses 3 sous-coupe 
8
20
2 paires
2
50
2
46
40
4
2
6
4"&amp;"
3
5
9
5
4
120"")"),"32")</f>
        <v>32</v>
      </c>
    </row>
    <row r="74">
      <c r="A74" s="3" t="s">
        <v>152</v>
      </c>
      <c r="B74" s="4" t="s">
        <v>153</v>
      </c>
      <c r="C74" s="4">
        <v>5.0</v>
      </c>
      <c r="D74" s="4" t="s">
        <v>147</v>
      </c>
      <c r="E74" s="5" t="str">
        <f>IFERROR(__xludf.DUMMYFUNCTION("AI(""Armoire D"")"),"Armoire D")</f>
        <v>Armoire D</v>
      </c>
      <c r="F74" s="5" t="str">
        <f>IFERROR(__xludf.DUMMYFUNCTION("AI(""70
42
2
3
14
34
10
10
8
23
8
3
1
1
7
12
29
24
24
4
17
5
4
1
1
8
198
34
9
11
8
11
24
2
31
3
4
12
10
56
21
20
160
100
6
22
21
50
47
1
56
120
2
1
75
270
900g
50g
40
100g
15
1
11
144
10
2
9
44
8
34
32
5
4
15
8
19
40
15
20
35
13
25
25
14
5
18
10
6
4
1
3
1"&amp;"
5 RAM
5 RAM (+1 VRAC)
3 RAM
4 RAM
 1 RAM + 1 VRAC
1 VRAC
1 RAM + 1 VRAC
3 RAM
1 RAM
VRAC
220
3
3
3
3
2
2
3
3
40ml
1
60
40
3
1
2
54
58
5
17
16
200
240
4
9
13
1
180
720
200
16
2
23
140
267
3 RAM
4
4
9
4
2000
21
5
1
2
51
2
10
4 RAM
7
1
3
3
70
91
157
97
92
"&amp;"94
214
34
90
98
174
554
1 596
101
67
22
7
1247
216
20
50
194
146
397
3
1
2
1
1
1
2
1
825
163
12
8
156
101
60
156
40
8
33
19
10
7
8
1
2
5
50
100
50
400
217
50
150
127
4
31
1
1
1
2
3
12
103
3
1
1
3
2
3 tasses 3 sous-coupe 
8
20
2 paires
2
50
2
46
40
4
2
6
4"&amp;"
3
5
9
5
4
120"")"),"5")</f>
        <v>5</v>
      </c>
    </row>
    <row r="75">
      <c r="A75" s="3" t="s">
        <v>154</v>
      </c>
      <c r="B75" s="4" t="s">
        <v>155</v>
      </c>
      <c r="C75" s="4">
        <v>4.0</v>
      </c>
      <c r="D75" s="4" t="s">
        <v>147</v>
      </c>
      <c r="E75" s="5" t="str">
        <f>IFERROR(__xludf.DUMMYFUNCTION("AI(""Armoire D"")"),"Armoire D")</f>
        <v>Armoire D</v>
      </c>
      <c r="F75" s="5" t="str">
        <f>IFERROR(__xludf.DUMMYFUNCTION("AI(""70
42
2
3
14
34
10
10
8
23
8
3
1
1
7
12
29
24
24
4
17
5
4
1
1
8
198
34
9
11
8
11
24
2
31
3
4
12
10
56
21
20
160
100
6
22
21
50
47
1
56
120
2
1
75
270
900g
50g
40
100g
15
1
11
144
10
2
9
44
8
34
32
5
4
15
8
19
40
15
20
35
13
25
25
14
5
18
10
6
4
1
3
1"&amp;"
5 RAM
5 RAM (+1 VRAC)
3 RAM
4 RAM
 1 RAM + 1 VRAC
1 VRAC
1 RAM + 1 VRAC
3 RAM
1 RAM
VRAC
220
3
3
3
3
2
2
3
3
40ml
1
60
40
3
1
2
54
58
5
17
16
200
240
4
9
13
1
180
720
200
16
2
23
140
267
3 RAM
4
4
9
4
2000
21
5
1
2
51
2
10
4 RAM
7
1
3
3
70
91
157
97
92
"&amp;"94
214
34
90
98
174
554
1 596
101
67
22
7
1247
216
20
50
194
146
397
3
1
2
1
1
1
2
1
825
163
12
8
156
101
60
156
40
8
33
19
10
7
8
1
2
5
50
100
50
400
217
50
150
127
4
31
1
1
1
2
3
12
103
3
1
1
3
2
3 tasses 3 sous-coupe 
8
20
2 paires
2
50
2
46
40
4
2
6
4"&amp;"
3
5
9
5
4
120"")"),"4")</f>
        <v>4</v>
      </c>
    </row>
    <row r="76">
      <c r="A76" s="3" t="s">
        <v>156</v>
      </c>
      <c r="B76" s="4" t="s">
        <v>157</v>
      </c>
      <c r="C76" s="4">
        <v>15.0</v>
      </c>
      <c r="D76" s="5" t="str">
        <f>IFERROR(__xludf.DUMMYFUNCTION("AI(""Écriture
Écriture
Écriture
Écriture
Écriture
Écriture
Écriture
Écriture
Écriture
Écriture
Écriture
Écriture
Écriture
Écriture
Écriture
Écriture
Écriture
Écriture
Écriture
Bureau
Bureau
Bureau
Écriture
Écriture
Écriture
Bureau
Bureau
Écriture
Bureau
É"&amp;"criture
Bureau
Bureau
Papeterie
Bureau
Papeterie
Bureau
Bureau
Papeterie
Papeterie
Papeterie
Écriture
Papeterie
Bureau
Bureau
Bureau
Bureau
Bureau
Bureau
Classement
Bureau
Papeterie
Bureau
Bureau
Bureau
Classement
Bureau
Bureau
Bureau
Bureau
Bureau
Bureau"&amp;"
Bureau
Bureau
Bureau
Bureau
Bureau
Papeterie
Bureau
Consommables
Bureau
Bureau
Consommables
Consommables
Bureau
Consommables
Consommables
Bureau
Bureau
Papeterie
Bureau
Bureau
Bureau
Bureau
Bureau
Bureau
Bureau
Bureau
Bureau
Bureau
Bureau"")"),"Bureau")</f>
        <v>Bureau</v>
      </c>
      <c r="E76" s="5" t="str">
        <f>IFERROR(__xludf.DUMMYFUNCTION("AI(""Armoire D"")"),"Armoire D")</f>
        <v>Armoire D</v>
      </c>
      <c r="F76" s="5" t="str">
        <f>IFERROR(__xludf.DUMMYFUNCTION("AI(""70
42
2
3
14
34
10
10
8
23
8
3
1
1
7
12
29
24
24
4
17
5
4
1
1
8
198
34
9
11
8
11
24
2
31
3
4
12
10
56
21
20
160
100
6
22
21
50
47
1
56
120
2
1
75
270
900g
50g
40
100g
15
1
11
144
10
2
9
44
8
34
32
5
4
15
8
19
40
15
20
35
13
25
25
14
5
18
10
6
4
1
3
1"&amp;"
5 RAM
5 RAM (+1 VRAC)
3 RAM
4 RAM
 1 RAM + 1 VRAC
1 VRAC
1 RAM + 1 VRAC
3 RAM
1 RAM
VRAC
220
3
3
3
3
2
2
3
3
40ml
1
60
40
3
1
2
54
58
5
17
16
200
240
4
9
13
1
180
720
200
16
2
23
140
267
3 RAM
4
4
9
4
2000
21
5
1
2
51
2
10
4 RAM
7
1
3
3
70
91
157
97
92
"&amp;"94
214
34
90
98
174
554
1 596
101
67
22
7
1247
216
20
50
194
146
397
3
1
2
1
1
1
2
1
825
163
12
8
156
101
60
156
40
8
33
19
10
7
8
1
2
5
50
100
50
400
217
50
150
127
4
31
1
1
1
2
3
12
103
3
1
1
3
2
3 tasses 3 sous-coupe 
8
20
2 paires
2
50
2
46
40
4
2
6
4"&amp;"
3
5
9
5
4
120"")"),"15")</f>
        <v>15</v>
      </c>
    </row>
    <row r="77">
      <c r="A77" s="3" t="s">
        <v>158</v>
      </c>
      <c r="B77" s="4" t="s">
        <v>159</v>
      </c>
      <c r="C77" s="4">
        <v>8.0</v>
      </c>
      <c r="D77" s="4" t="s">
        <v>147</v>
      </c>
      <c r="E77" s="5" t="str">
        <f>IFERROR(__xludf.DUMMYFUNCTION("AI(""Armoire D"")"),"Armoire D")</f>
        <v>Armoire D</v>
      </c>
      <c r="F77" s="5" t="str">
        <f>IFERROR(__xludf.DUMMYFUNCTION("AI(""70
42
2
3
14
34
10
10
8
23
8
3
1
1
7
12
29
24
24
4
17
5
4
1
1
8
198
34
9
11
8
11
24
2
31
3
4
12
10
56
21
20
160
100
6
22
21
50
47
1
56
120
2
1
75
270
900g
50g
40
100g
15
1
11
144
10
2
9
44
8
34
32
5
4
15
8
19
40
15
20
35
13
25
25
14
5
18
10
6
4
1
3
1"&amp;"
5 RAM
5 RAM (+1 VRAC)
3 RAM
4 RAM
 1 RAM + 1 VRAC
1 VRAC
1 RAM + 1 VRAC
3 RAM
1 RAM
VRAC
220
3
3
3
3
2
2
3
3
40ml
1
60
40
3
1
2
54
58
5
17
16
200
240
4
9
13
1
180
720
200
16
2
23
140
267
3 RAM
4
4
9
4
2000
21
5
1
2
51
2
10
4 RAM
7
1
3
3
70
91
157
97
92
"&amp;"94
214
34
90
98
174
554
1 596
101
67
22
7
1247
216
20
50
194
146
397
3
1
2
1
1
1
2
1
825
163
12
8
156
101
60
156
40
8
33
19
10
7
8
1
2
5
50
100
50
400
217
50
150
127
4
31
1
1
1
2
3
12
103
3
1
1
3
2
3 tasses 3 sous-coupe 
8
20
2 paires
2
50
2
46
40
4
2
6
4"&amp;"
3
5
9
5
4
120"")"),"8")</f>
        <v>8</v>
      </c>
    </row>
    <row r="78">
      <c r="A78" s="3" t="s">
        <v>160</v>
      </c>
      <c r="B78" s="4" t="s">
        <v>161</v>
      </c>
      <c r="C78" s="4">
        <v>19.0</v>
      </c>
      <c r="D78" s="5" t="str">
        <f>IFERROR(__xludf.DUMMYFUNCTION("AI(""Écriture
Écriture
Écriture
Écriture
Écriture
Écriture
Écriture
Écriture
Écriture
Écriture
Écriture
Écriture
Écriture
Écriture
Écriture
Écriture
Écriture
Écriture
Écriture
Bureau
Bureau
Bureau
Écriture
Écriture
Écriture
Bureau
Bureau
Écriture
Bureau
É"&amp;"criture
Bureau
Bureau
Papeterie
Bureau
Papeterie
Bureau
Bureau
Papeterie
Papeterie
Papeterie
Écriture
Papeterie
Bureau
Bureau
Bureau
Bureau
Bureau
Bureau
Classement
Bureau
Papeterie
Bureau
Bureau
Bureau
Classement
Bureau
Bureau
Bureau
Bureau
Bureau
Bureau"&amp;"
Bureau
Bureau
Bureau
Bureau
Bureau
Papeterie
Bureau
Consommables
Bureau
Bureau
Consommables
Consommables
Bureau
Consommables
Consommables
Bureau
Bureau
Papeterie
Bureau
Bureau
Bureau
Bureau
Bureau
Bureau
Bureau
Bureau
Bureau
Bureau
Bureau"")"),"Bureau")</f>
        <v>Bureau</v>
      </c>
      <c r="E78" s="5" t="str">
        <f>IFERROR(__xludf.DUMMYFUNCTION("AI(""Armoire D"")"),"Armoire D")</f>
        <v>Armoire D</v>
      </c>
      <c r="F78" s="5" t="str">
        <f>IFERROR(__xludf.DUMMYFUNCTION("AI(""70
42
2
3
14
34
10
10
8
23
8
3
1
1
7
12
29
24
24
4
17
5
4
1
1
8
198
34
9
11
8
11
24
2
31
3
4
12
10
56
21
20
160
100
6
22
21
50
47
1
56
120
2
1
75
270
900g
50g
40
100g
15
1
11
144
10
2
9
44
8
34
32
5
4
15
8
19
40
15
20
35
13
25
25
14
5
18
10
6
4
1
3
1"&amp;"
5 RAM
5 RAM (+1 VRAC)
3 RAM
4 RAM
 1 RAM + 1 VRAC
1 VRAC
1 RAM + 1 VRAC
3 RAM
1 RAM
VRAC
220
3
3
3
3
2
2
3
3
40ml
1
60
40
3
1
2
54
58
5
17
16
200
240
4
9
13
1
180
720
200
16
2
23
140
267
3 RAM
4
4
9
4
2000
21
5
1
2
51
2
10
4 RAM
7
1
3
3
70
91
157
97
92
"&amp;"94
214
34
90
98
174
554
1 596
101
67
22
7
1247
216
20
50
194
146
397
3
1
2
1
1
1
2
1
825
163
12
8
156
101
60
156
40
8
33
19
10
7
8
1
2
5
50
100
50
400
217
50
150
127
4
31
1
1
1
2
3
12
103
3
1
1
3
2
3 tasses 3 sous-coupe 
8
20
2 paires
2
50
2
46
40
4
2
6
4"&amp;"
3
5
9
5
4
120"")"),"19")</f>
        <v>19</v>
      </c>
    </row>
    <row r="79">
      <c r="A79" s="7" t="s">
        <v>162</v>
      </c>
      <c r="B79" s="4" t="s">
        <v>163</v>
      </c>
      <c r="C79" s="4">
        <v>40.0</v>
      </c>
      <c r="D79" s="5" t="str">
        <f>IFERROR(__xludf.DUMMYFUNCTION("AI(""Écriture
Écriture
Écriture
Écriture
Écriture
Écriture
Écriture
Écriture
Écriture
Écriture
Écriture
Écriture
Écriture
Écriture
Écriture
Écriture
Écriture
Écriture
Écriture
Bureau
Bureau
Bureau
Écriture
Écriture
Écriture
Bureau
Bureau
Écriture
Bureau
É"&amp;"criture
Bureau
Bureau
Papeterie
Bureau
Papeterie
Bureau
Bureau
Papeterie
Papeterie
Papeterie
Écriture
Papeterie
Bureau
Bureau
Bureau
Bureau
Bureau
Bureau
Classement
Bureau
Papeterie
Bureau
Bureau
Bureau
Classement
Bureau
Bureau
Bureau
Bureau
Bureau
Bureau"&amp;"
Bureau
Bureau
Bureau
Bureau
Bureau
Papeterie
Bureau
Consommables
Bureau
Bureau
Consommables
Consommables
Bureau
Consommables
Consommables
Bureau
Bureau
Papeterie
Bureau
Bureau
Bureau
Bureau
Bureau
Bureau
Bureau
Bureau
Bureau
Bureau
Bureau"")"),"Bureau")</f>
        <v>Bureau</v>
      </c>
      <c r="E79" s="5" t="str">
        <f>IFERROR(__xludf.DUMMYFUNCTION("AI(""Armoire D"")"),"Armoire D")</f>
        <v>Armoire D</v>
      </c>
      <c r="F79" s="5" t="str">
        <f>IFERROR(__xludf.DUMMYFUNCTION("AI(""70
42
2
3
14
34
10
10
8
23
8
3
1
1
7
12
29
24
24
4
17
5
4
1
1
8
198
34
9
11
8
11
24
2
31
3
4
12
10
56
21
20
160
100
6
22
21
50
47
1
56
120
2
1
75
270
900g
50g
40
100g
15
1
11
144
10
2
9
44
8
34
32
5
4
15
8
19
40
15
20
35
13
25
25
14
5
18
10
6
4
1
3
1"&amp;"
5 RAM
5 RAM (+1 VRAC)
3 RAM
4 RAM
 1 RAM + 1 VRAC
1 VRAC
1 RAM + 1 VRAC
3 RAM
1 RAM
VRAC
220
3
3
3
3
2
2
3
3
40ml
1
60
40
3
1
2
54
58
5
17
16
200
240
4
9
13
1
180
720
200
16
2
23
140
267
3 RAM
4
4
9
4
2000
21
5
1
2
51
2
10
4 RAM
7
1
3
3
70
91
157
97
92
"&amp;"94
214
34
90
98
174
554
1 596
101
67
22
7
1247
216
20
50
194
146
397
3
1
2
1
1
1
2
1
825
163
12
8
156
101
60
156
40
8
33
19
10
7
8
1
2
5
50
100
50
400
217
50
150
127
4
31
1
1
1
2
3
12
103
3
1
1
3
2
3 tasses 3 sous-coupe 
8
20
2 paires
2
50
2
46
40
4
2
6
4"&amp;"
3
5
9
5
4
120"")"),"40")</f>
        <v>40</v>
      </c>
    </row>
    <row r="80">
      <c r="A80" s="3" t="s">
        <v>164</v>
      </c>
      <c r="B80" s="4" t="s">
        <v>165</v>
      </c>
      <c r="C80" s="4">
        <v>15.0</v>
      </c>
      <c r="D80" s="5" t="str">
        <f>IFERROR(__xludf.DUMMYFUNCTION("AI(""Écriture
Écriture
Écriture
Écriture
Écriture
Écriture
Écriture
Écriture
Écriture
Écriture
Écriture
Écriture
Écriture
Écriture
Écriture
Écriture
Écriture
Écriture
Écriture
Bureau
Bureau
Bureau
Écriture
Écriture
Écriture
Bureau
Bureau
Écriture
Bureau
É"&amp;"criture
Bureau
Bureau
Papeterie
Bureau
Papeterie
Bureau
Bureau
Papeterie
Papeterie
Papeterie
Écriture
Papeterie
Bureau
Bureau
Bureau
Bureau
Bureau
Bureau
Classement
Bureau
Papeterie
Bureau
Bureau
Bureau
Classement
Bureau
Bureau
Bureau
Bureau
Bureau
Bureau"&amp;"
Bureau
Bureau
Bureau
Bureau
Bureau
Papeterie
Bureau
Consommables
Bureau
Bureau
Consommables
Consommables
Bureau
Consommables
Consommables
Bureau
Bureau
Papeterie
Bureau
Bureau
Bureau
Bureau
Bureau
Bureau
Bureau
Bureau
Bureau
Bureau
Bureau"")"),"Papeterie")</f>
        <v>Papeterie</v>
      </c>
      <c r="E80" s="5" t="str">
        <f>IFERROR(__xludf.DUMMYFUNCTION("AI(""Armoire D"")"),"Armoire D")</f>
        <v>Armoire D</v>
      </c>
      <c r="F80" s="5" t="str">
        <f>IFERROR(__xludf.DUMMYFUNCTION("AI(""70
42
2
3
14
34
10
10
8
23
8
3
1
1
7
12
29
24
24
4
17
5
4
1
1
8
198
34
9
11
8
11
24
2
31
3
4
12
10
56
21
20
160
100
6
22
21
50
47
1
56
120
2
1
75
270
900g
50g
40
100g
15
1
11
144
10
2
9
44
8
34
32
5
4
15
8
19
40
15
20
35
13
25
25
14
5
18
10
6
4
1
3
1"&amp;"
5 RAM
5 RAM (+1 VRAC)
3 RAM
4 RAM
 1 RAM + 1 VRAC
1 VRAC
1 RAM + 1 VRAC
3 RAM
1 RAM
VRAC
220
3
3
3
3
2
2
3
3
40ml
1
60
40
3
1
2
54
58
5
17
16
200
240
4
9
13
1
180
720
200
16
2
23
140
267
3 RAM
4
4
9
4
2000
21
5
1
2
51
2
10
4 RAM
7
1
3
3
70
91
157
97
92
"&amp;"94
214
34
90
98
174
554
1 596
101
67
22
7
1247
216
20
50
194
146
397
3
1
2
1
1
1
2
1
825
163
12
8
156
101
60
156
40
8
33
19
10
7
8
1
2
5
50
100
50
400
217
50
150
127
4
31
1
1
1
2
3
12
103
3
1
1
3
2
3 tasses 3 sous-coupe 
8
20
2 paires
2
50
2
46
40
4
2
6
4"&amp;"
3
5
9
5
4
120"")"),"15")</f>
        <v>15</v>
      </c>
    </row>
    <row r="81">
      <c r="A81" s="3" t="s">
        <v>166</v>
      </c>
      <c r="B81" s="4" t="s">
        <v>167</v>
      </c>
      <c r="C81" s="4">
        <v>20.0</v>
      </c>
      <c r="D81" s="5" t="str">
        <f>IFERROR(__xludf.DUMMYFUNCTION("AI(""Écriture
Écriture
Écriture
Écriture
Écriture
Écriture
Écriture
Écriture
Écriture
Écriture
Écriture
Écriture
Écriture
Écriture
Écriture
Écriture
Écriture
Écriture
Écriture
Bureau
Bureau
Bureau
Écriture
Écriture
Écriture
Bureau
Bureau
Écriture
Bureau
É"&amp;"criture
Bureau
Bureau
Papeterie
Bureau
Papeterie
Bureau
Bureau
Papeterie
Papeterie
Papeterie
Écriture
Papeterie
Bureau
Bureau
Bureau
Bureau
Bureau
Bureau
Classement
Bureau
Papeterie
Bureau
Bureau
Bureau
Classement
Bureau
Bureau
Bureau
Bureau
Bureau
Bureau"&amp;"
Bureau
Bureau
Bureau
Bureau
Bureau
Papeterie
Bureau
Consommables
Bureau
Bureau
Consommables
Consommables
Bureau
Consommables
Consommables
Bureau
Bureau
Papeterie
Bureau
Bureau
Bureau
Bureau
Bureau
Bureau
Bureau
Bureau
Bureau
Bureau
Bureau"")"),"Bureau")</f>
        <v>Bureau</v>
      </c>
      <c r="E81" s="5" t="str">
        <f>IFERROR(__xludf.DUMMYFUNCTION("AI(""Armoire D"")"),"Armoire D")</f>
        <v>Armoire D</v>
      </c>
      <c r="F81" s="5" t="str">
        <f>IFERROR(__xludf.DUMMYFUNCTION("AI(""70
42
2
3
14
34
10
10
8
23
8
3
1
1
7
12
29
24
24
4
17
5
4
1
1
8
198
34
9
11
8
11
24
2
31
3
4
12
10
56
21
20
160
100
6
22
21
50
47
1
56
120
2
1
75
270
900g
50g
40
100g
15
1
11
144
10
2
9
44
8
34
32
5
4
15
8
19
40
15
20
35
13
25
25
14
5
18
10
6
4
1
3
1"&amp;"
5 RAM
5 RAM (+1 VRAC)
3 RAM
4 RAM
 1 RAM + 1 VRAC
1 VRAC
1 RAM + 1 VRAC
3 RAM
1 RAM
VRAC
220
3
3
3
3
2
2
3
3
40ml
1
60
40
3
1
2
54
58
5
17
16
200
240
4
9
13
1
180
720
200
16
2
23
140
267
3 RAM
4
4
9
4
2000
21
5
1
2
51
2
10
4 RAM
7
1
3
3
70
91
157
97
92
"&amp;"94
214
34
90
98
174
554
1 596
101
67
22
7
1247
216
20
50
194
146
397
3
1
2
1
1
1
2
1
825
163
12
8
156
101
60
156
40
8
33
19
10
7
8
1
2
5
50
100
50
400
217
50
150
127
4
31
1
1
1
2
3
12
103
3
1
1
3
2
3 tasses 3 sous-coupe 
8
20
2 paires
2
50
2
46
40
4
2
6
4"&amp;"
3
5
9
5
4
120"")"),"20")</f>
        <v>20</v>
      </c>
    </row>
    <row r="82">
      <c r="A82" s="3" t="s">
        <v>168</v>
      </c>
      <c r="B82" s="4" t="s">
        <v>169</v>
      </c>
      <c r="C82" s="4">
        <v>35.0</v>
      </c>
      <c r="D82" s="5" t="str">
        <f>IFERROR(__xludf.DUMMYFUNCTION("AI(""Écriture
Écriture
Écriture
Écriture
Écriture
Écriture
Écriture
Écriture
Écriture
Écriture
Écriture
Écriture
Écriture
Écriture
Écriture
Écriture
Écriture
Écriture
Écriture
Bureau
Bureau
Bureau
Écriture
Écriture
Écriture
Bureau
Bureau
Écriture
Bureau
É"&amp;"criture
Bureau
Bureau
Papeterie
Bureau
Papeterie
Bureau
Bureau
Papeterie
Papeterie
Papeterie
Écriture
Papeterie
Bureau
Bureau
Bureau
Bureau
Bureau
Bureau
Classement
Bureau
Papeterie
Bureau
Bureau
Bureau
Classement
Bureau
Bureau
Bureau
Bureau
Bureau
Bureau"&amp;"
Bureau
Bureau
Bureau
Bureau
Bureau
Papeterie
Bureau
Consommables
Bureau
Bureau
Consommables
Consommables
Bureau
Consommables
Consommables
Bureau
Bureau
Papeterie
Bureau
Bureau
Bureau
Bureau
Bureau
Bureau
Bureau
Bureau
Bureau
Bureau
Bureau"")"),"Bureau")</f>
        <v>Bureau</v>
      </c>
      <c r="E82" s="5" t="str">
        <f>IFERROR(__xludf.DUMMYFUNCTION("AI(""Armoire D"")"),"Armoire D")</f>
        <v>Armoire D</v>
      </c>
      <c r="F82" s="5" t="str">
        <f>IFERROR(__xludf.DUMMYFUNCTION("AI(""70
42
2
3
14
34
10
10
8
23
8
3
1
1
7
12
29
24
24
4
17
5
4
1
1
8
198
34
9
11
8
11
24
2
31
3
4
12
10
56
21
20
160
100
6
22
21
50
47
1
56
120
2
1
75
270
900g
50g
40
100g
15
1
11
144
10
2
9
44
8
34
32
5
4
15
8
19
40
15
20
35
13
25
25
14
5
18
10
6
4
1
3
1"&amp;"
5 RAM
5 RAM (+1 VRAC)
3 RAM
4 RAM
 1 RAM + 1 VRAC
1 VRAC
1 RAM + 1 VRAC
3 RAM
1 RAM
VRAC
220
3
3
3
3
2
2
3
3
40ml
1
60
40
3
1
2
54
58
5
17
16
200
240
4
9
13
1
180
720
200
16
2
23
140
267
3 RAM
4
4
9
4
2000
21
5
1
2
51
2
10
4 RAM
7
1
3
3
70
91
157
97
92
"&amp;"94
214
34
90
98
174
554
1 596
101
67
22
7
1247
216
20
50
194
146
397
3
1
2
1
1
1
2
1
825
163
12
8
156
101
60
156
40
8
33
19
10
7
8
1
2
5
50
100
50
400
217
50
150
127
4
31
1
1
1
2
3
12
103
3
1
1
3
2
3 tasses 3 sous-coupe 
8
20
2 paires
2
50
2
46
40
4
2
6
4"&amp;"
3
5
9
5
4
120"")"),"35")</f>
        <v>35</v>
      </c>
    </row>
    <row r="83">
      <c r="A83" s="3" t="s">
        <v>170</v>
      </c>
      <c r="B83" s="4" t="s">
        <v>171</v>
      </c>
      <c r="C83" s="4">
        <v>13.0</v>
      </c>
      <c r="D83" s="5" t="str">
        <f>IFERROR(__xludf.DUMMYFUNCTION("AI(""Écriture
Écriture
Écriture
Écriture
Écriture
Écriture
Écriture
Écriture
Écriture
Écriture
Écriture
Écriture
Écriture
Écriture
Écriture
Écriture
Écriture
Écriture
Écriture
Bureau
Bureau
Bureau
Écriture
Écriture
Écriture
Bureau
Bureau
Écriture
Bureau
É"&amp;"criture
Bureau
Bureau
Papeterie
Bureau
Papeterie
Bureau
Bureau
Papeterie
Papeterie
Papeterie
Écriture
Papeterie
Bureau
Bureau
Bureau
Bureau
Bureau
Bureau
Classement
Bureau
Papeterie
Bureau
Bureau
Bureau
Classement
Bureau
Bureau
Bureau
Bureau
Bureau
Bureau"&amp;"
Bureau
Bureau
Bureau
Bureau
Bureau
Papeterie
Bureau
Consommables
Bureau
Bureau
Consommables
Consommables
Bureau
Consommables
Consommables
Bureau
Bureau
Papeterie
Bureau
Bureau
Bureau
Bureau
Bureau
Bureau
Bureau
Bureau
Bureau
Bureau
Bureau"")"),"Bureau")</f>
        <v>Bureau</v>
      </c>
      <c r="E83" s="5" t="str">
        <f>IFERROR(__xludf.DUMMYFUNCTION("AI(""Armoire D"")"),"Armoire D")</f>
        <v>Armoire D</v>
      </c>
      <c r="F83" s="5" t="str">
        <f>IFERROR(__xludf.DUMMYFUNCTION("AI(""70
42
2
3
14
34
10
10
8
23
8
3
1
1
7
12
29
24
24
4
17
5
4
1
1
8
198
34
9
11
8
11
24
2
31
3
4
12
10
56
21
20
160
100
6
22
21
50
47
1
56
120
2
1
75
270
900g
50g
40
100g
15
1
11
144
10
2
9
44
8
34
32
5
4
15
8
19
40
15
20
35
13
25
25
14
5
18
10
6
4
1
3
1"&amp;"
5 RAM
5 RAM (+1 VRAC)
3 RAM
4 RAM
 1 RAM + 1 VRAC
1 VRAC
1 RAM + 1 VRAC
3 RAM
1 RAM
VRAC
220
3
3
3
3
2
2
3
3
40ml
1
60
40
3
1
2
54
58
5
17
16
200
240
4
9
13
1
180
720
200
16
2
23
140
267
3 RAM
4
4
9
4
2000
21
5
1
2
51
2
10
4 RAM
7
1
3
3
70
91
157
97
92
"&amp;"94
214
34
90
98
174
554
1 596
101
67
22
7
1247
216
20
50
194
146
397
3
1
2
1
1
1
2
1
825
163
12
8
156
101
60
156
40
8
33
19
10
7
8
1
2
5
50
100
50
400
217
50
150
127
4
31
1
1
1
2
3
12
103
3
1
1
3
2
3 tasses 3 sous-coupe 
8
20
2 paires
2
50
2
46
40
4
2
6
4"&amp;"
3
5
9
5
4
120"")"),"13")</f>
        <v>13</v>
      </c>
    </row>
    <row r="84">
      <c r="A84" s="3" t="s">
        <v>172</v>
      </c>
      <c r="B84" s="4" t="s">
        <v>173</v>
      </c>
      <c r="C84" s="4">
        <v>25.0</v>
      </c>
      <c r="D84" s="5" t="str">
        <f>IFERROR(__xludf.DUMMYFUNCTION("AI(""Écriture
Écriture
Écriture
Écriture
Écriture
Écriture
Écriture
Écriture
Écriture
Écriture
Écriture
Écriture
Écriture
Écriture
Écriture
Écriture
Écriture
Écriture
Écriture
Bureau
Bureau
Bureau
Écriture
Écriture
Écriture
Bureau
Bureau
Écriture
Bureau
É"&amp;"criture
Bureau
Bureau
Papeterie
Bureau
Papeterie
Bureau
Bureau
Papeterie
Papeterie
Papeterie
Écriture
Papeterie
Bureau
Bureau
Bureau
Bureau
Bureau
Bureau
Classement
Bureau
Papeterie
Bureau
Bureau
Bureau
Classement
Bureau
Bureau
Bureau
Bureau
Bureau
Bureau"&amp;"
Bureau
Bureau
Bureau
Bureau
Bureau
Papeterie
Bureau
Consommables
Bureau
Bureau
Consommables
Consommables
Bureau
Consommables
Consommables
Bureau
Bureau
Papeterie
Bureau
Bureau
Bureau
Bureau
Bureau
Bureau
Bureau
Bureau
Bureau
Bureau
Bureau"")"),"Bureau")</f>
        <v>Bureau</v>
      </c>
      <c r="E84" s="5" t="str">
        <f>IFERROR(__xludf.DUMMYFUNCTION("AI(""Armoire D"")"),"Armoire D")</f>
        <v>Armoire D</v>
      </c>
      <c r="F84" s="5" t="str">
        <f>IFERROR(__xludf.DUMMYFUNCTION("AI(""70
42
2
3
14
34
10
10
8
23
8
3
1
1
7
12
29
24
24
4
17
5
4
1
1
8
198
34
9
11
8
11
24
2
31
3
4
12
10
56
21
20
160
100
6
22
21
50
47
1
56
120
2
1
75
270
900g
50g
40
100g
15
1
11
144
10
2
9
44
8
34
32
5
4
15
8
19
40
15
20
35
13
25
25
14
5
18
10
6
4
1
3
1"&amp;"
5 RAM
5 RAM (+1 VRAC)
3 RAM
4 RAM
 1 RAM + 1 VRAC
1 VRAC
1 RAM + 1 VRAC
3 RAM
1 RAM
VRAC
220
3
3
3
3
2
2
3
3
40ml
1
60
40
3
1
2
54
58
5
17
16
200
240
4
9
13
1
180
720
200
16
2
23
140
267
3 RAM
4
4
9
4
2000
21
5
1
2
51
2
10
4 RAM
7
1
3
3
70
91
157
97
92
"&amp;"94
214
34
90
98
174
554
1 596
101
67
22
7
1247
216
20
50
194
146
397
3
1
2
1
1
1
2
1
825
163
12
8
156
101
60
156
40
8
33
19
10
7
8
1
2
5
50
100
50
400
217
50
150
127
4
31
1
1
1
2
3
12
103
3
1
1
3
2
3 tasses 3 sous-coupe 
8
20
2 paires
2
50
2
46
40
4
2
6
4"&amp;"
3
5
9
5
4
120"")"),"25")</f>
        <v>25</v>
      </c>
    </row>
    <row r="85">
      <c r="A85" s="3" t="s">
        <v>174</v>
      </c>
      <c r="B85" s="4" t="s">
        <v>175</v>
      </c>
      <c r="C85" s="4">
        <v>25.0</v>
      </c>
      <c r="D85" s="5" t="str">
        <f>IFERROR(__xludf.DUMMYFUNCTION("AI(""Écriture
Écriture
Écriture
Écriture
Écriture
Écriture
Écriture
Écriture
Écriture
Écriture
Écriture
Écriture
Écriture
Écriture
Écriture
Écriture
Écriture
Écriture
Écriture
Bureau
Bureau
Bureau
Écriture
Écriture
Écriture
Bureau
Bureau
Écriture
Bureau
É"&amp;"criture
Bureau
Bureau
Papeterie
Bureau
Papeterie
Bureau
Bureau
Papeterie
Papeterie
Papeterie
Écriture
Papeterie
Bureau
Bureau
Bureau
Bureau
Bureau
Bureau
Classement
Bureau
Papeterie
Bureau
Bureau
Bureau
Classement
Bureau
Bureau
Bureau
Bureau
Bureau
Bureau"&amp;"
Bureau
Bureau
Bureau
Bureau
Bureau
Papeterie
Bureau
Consommables
Bureau
Bureau
Consommables
Consommables
Bureau
Consommables
Consommables
Bureau
Bureau
Papeterie
Bureau
Bureau
Bureau
Bureau
Bureau
Bureau
Bureau
Bureau
Bureau
Bureau
Bureau"")"),"Bureau")</f>
        <v>Bureau</v>
      </c>
      <c r="E85" s="5" t="str">
        <f>IFERROR(__xludf.DUMMYFUNCTION("AI(""Armoire D"")"),"Armoire D")</f>
        <v>Armoire D</v>
      </c>
      <c r="F85" s="5" t="str">
        <f>IFERROR(__xludf.DUMMYFUNCTION("AI(""70
42
2
3
14
34
10
10
8
23
8
3
1
1
7
12
29
24
24
4
17
5
4
1
1
8
198
34
9
11
8
11
24
2
31
3
4
12
10
56
21
20
160
100
6
22
21
50
47
1
56
120
2
1
75
270
900g
50g
40
100g
15
1
11
144
10
2
9
44
8
34
32
5
4
15
8
19
40
15
20
35
13
25
25
14
5
18
10
6
4
1
3
1"&amp;"
5 RAM
5 RAM (+1 VRAC)
3 RAM
4 RAM
 1 RAM + 1 VRAC
1 VRAC
1 RAM + 1 VRAC
3 RAM
1 RAM
VRAC
220
3
3
3
3
2
2
3
3
40ml
1
60
40
3
1
2
54
58
5
17
16
200
240
4
9
13
1
180
720
200
16
2
23
140
267
3 RAM
4
4
9
4
2000
21
5
1
2
51
2
10
4 RAM
7
1
3
3
70
91
157
97
92
"&amp;"94
214
34
90
98
174
554
1 596
101
67
22
7
1247
216
20
50
194
146
397
3
1
2
1
1
1
2
1
825
163
12
8
156
101
60
156
40
8
33
19
10
7
8
1
2
5
50
100
50
400
217
50
150
127
4
31
1
1
1
2
3
12
103
3
1
1
3
2
3 tasses 3 sous-coupe 
8
20
2 paires
2
50
2
46
40
4
2
6
4"&amp;"
3
5
9
5
4
120"")"),"25")</f>
        <v>25</v>
      </c>
    </row>
    <row r="86">
      <c r="A86" s="3" t="s">
        <v>176</v>
      </c>
      <c r="B86" s="4" t="s">
        <v>177</v>
      </c>
      <c r="C86" s="4">
        <v>14.0</v>
      </c>
      <c r="D86" s="5" t="str">
        <f>IFERROR(__xludf.DUMMYFUNCTION("AI(""Écriture
Écriture
Écriture
Écriture
Écriture
Écriture
Écriture
Écriture
Écriture
Écriture
Écriture
Écriture
Écriture
Écriture
Écriture
Écriture
Écriture
Écriture
Écriture
Bureau
Bureau
Bureau
Écriture
Écriture
Écriture
Bureau
Bureau
Écriture
Bureau
É"&amp;"criture
Bureau
Bureau
Papeterie
Bureau
Papeterie
Bureau
Bureau
Papeterie
Papeterie
Papeterie
Écriture
Papeterie
Bureau
Bureau
Bureau
Bureau
Bureau
Bureau
Classement
Bureau
Papeterie
Bureau
Bureau
Bureau
Classement
Bureau
Bureau
Bureau
Bureau
Bureau
Bureau"&amp;"
Bureau
Bureau
Bureau
Bureau
Bureau
Papeterie
Bureau
Consommables
Bureau
Bureau
Consommables
Consommables
Bureau
Consommables
Consommables
Bureau
Bureau
Papeterie
Bureau
Bureau
Bureau
Bureau
Bureau
Bureau
Bureau
Bureau
Bureau
Bureau
Bureau"")"),"Bureau")</f>
        <v>Bureau</v>
      </c>
      <c r="E86" s="5" t="str">
        <f>IFERROR(__xludf.DUMMYFUNCTION("AI(""Armoire D"")"),"Armoire D")</f>
        <v>Armoire D</v>
      </c>
      <c r="F86" s="5" t="str">
        <f>IFERROR(__xludf.DUMMYFUNCTION("AI(""70
42
2
3
14
34
10
10
8
23
8
3
1
1
7
12
29
24
24
4
17
5
4
1
1
8
198
34
9
11
8
11
24
2
31
3
4
12
10
56
21
20
160
100
6
22
21
50
47
1
56
120
2
1
75
270
900g
50g
40
100g
15
1
11
144
10
2
9
44
8
34
32
5
4
15
8
19
40
15
20
35
13
25
25
14
5
18
10
6
4
1
3
1"&amp;"
5 RAM
5 RAM (+1 VRAC)
3 RAM
4 RAM
 1 RAM + 1 VRAC
1 VRAC
1 RAM + 1 VRAC
3 RAM
1 RAM
VRAC
220
3
3
3
3
2
2
3
3
40ml
1
60
40
3
1
2
54
58
5
17
16
200
240
4
9
13
1
180
720
200
16
2
23
140
267
3 RAM
4
4
9
4
2000
21
5
1
2
51
2
10
4 RAM
7
1
3
3
70
91
157
97
92
"&amp;"94
214
34
90
98
174
554
1 596
101
67
22
7
1247
216
20
50
194
146
397
3
1
2
1
1
1
2
1
825
163
12
8
156
101
60
156
40
8
33
19
10
7
8
1
2
5
50
100
50
400
217
50
150
127
4
31
1
1
1
2
3
12
103
3
1
1
3
2
3 tasses 3 sous-coupe 
8
20
2 paires
2
50
2
46
40
4
2
6
4"&amp;"
3
5
9
5
4
120"")"),"14")</f>
        <v>14</v>
      </c>
    </row>
    <row r="87">
      <c r="A87" s="7" t="s">
        <v>178</v>
      </c>
      <c r="B87" s="4" t="s">
        <v>179</v>
      </c>
      <c r="C87" s="4">
        <v>5.0</v>
      </c>
      <c r="D87" s="5" t="str">
        <f>IFERROR(__xludf.DUMMYFUNCTION("AI(""Écriture
Écriture
Écriture
Écriture
Écriture
Écriture
Écriture
Écriture
Écriture
Écriture
Écriture
Écriture
Écriture
Écriture
Écriture
Écriture
Écriture
Écriture
Écriture
Bureau
Bureau
Bureau
Écriture
Écriture
Écriture
Bureau
Bureau
Écriture
Bureau
É"&amp;"criture
Bureau
Bureau
Papeterie
Bureau
Papeterie
Bureau
Bureau
Papeterie
Papeterie
Papeterie
Écriture
Papeterie
Bureau
Bureau
Bureau
Bureau
Bureau
Bureau
Classement
Bureau
Papeterie
Bureau
Bureau
Bureau
Classement
Bureau
Bureau
Bureau
Bureau
Bureau
Bureau"&amp;"
Bureau
Bureau
Bureau
Bureau
Bureau
Papeterie
Bureau
Consommables
Bureau
Bureau
Consommables
Consommables
Bureau
Consommables
Consommables
Bureau
Bureau
Papeterie
Bureau
Bureau
Bureau
Bureau
Bureau
Bureau
Bureau
Bureau
Bureau
Bureau
Bureau"")"),"Bureau")</f>
        <v>Bureau</v>
      </c>
      <c r="E87" s="5" t="str">
        <f>IFERROR(__xludf.DUMMYFUNCTION("AI(""Armoire D"")"),"Armoire D")</f>
        <v>Armoire D</v>
      </c>
      <c r="F87" s="5" t="str">
        <f>IFERROR(__xludf.DUMMYFUNCTION("AI(""70
42
2
3
14
34
10
10
8
23
8
3
1
1
7
12
29
24
24
4
17
5
4
1
1
8
198
34
9
11
8
11
24
2
31
3
4
12
10
56
21
20
160
100
6
22
21
50
47
1
56
120
2
1
75
270
900g
50g
40
100g
15
1
11
144
10
2
9
44
8
34
32
5
4
15
8
19
40
15
20
35
13
25
25
14
5
18
10
6
4
1
3
1"&amp;"
5 RAM
5 RAM (+1 VRAC)
3 RAM
4 RAM
 1 RAM + 1 VRAC
1 VRAC
1 RAM + 1 VRAC
3 RAM
1 RAM
VRAC
220
3
3
3
3
2
2
3
3
40ml
1
60
40
3
1
2
54
58
5
17
16
200
240
4
9
13
1
180
720
200
16
2
23
140
267
3 RAM
4
4
9
4
2000
21
5
1
2
51
2
10
4 RAM
7
1
3
3
70
91
157
97
92
"&amp;"94
214
34
90
98
174
554
1 596
101
67
22
7
1247
216
20
50
194
146
397
3
1
2
1
1
1
2
1
825
163
12
8
156
101
60
156
40
8
33
19
10
7
8
1
2
5
50
100
50
400
217
50
150
127
4
31
1
1
1
2
3
12
103
3
1
1
3
2
3 tasses 3 sous-coupe 
8
20
2 paires
2
50
2
46
40
4
2
6
4"&amp;"
3
5
9
5
4
120"")"),"5")</f>
        <v>5</v>
      </c>
    </row>
    <row r="88">
      <c r="A88" s="3" t="s">
        <v>180</v>
      </c>
      <c r="B88" s="4" t="s">
        <v>181</v>
      </c>
      <c r="C88" s="4">
        <v>18.0</v>
      </c>
      <c r="D88" s="5" t="str">
        <f>IFERROR(__xludf.DUMMYFUNCTION("AI(""Écriture
Écriture
Écriture
Écriture
Écriture
Écriture
Écriture
Écriture
Écriture
Écriture
Écriture
Écriture
Écriture
Écriture
Écriture
Écriture
Écriture
Écriture
Écriture
Bureau
Bureau
Bureau
Écriture
Écriture
Écriture
Bureau
Bureau
Écriture
Bureau
É"&amp;"criture
Bureau
Bureau
Papeterie
Bureau
Papeterie
Bureau
Bureau
Papeterie
Papeterie
Papeterie
Écriture
Papeterie
Bureau
Bureau
Bureau
Bureau
Bureau
Bureau
Classement
Bureau
Papeterie
Bureau
Bureau
Bureau
Classement
Bureau
Bureau
Bureau
Bureau
Bureau
Bureau"&amp;"
Bureau
Bureau
Bureau
Bureau
Bureau
Papeterie
Bureau
Consommables
Bureau
Bureau
Consommables
Consommables
Bureau
Consommables
Consommables
Bureau
Bureau
Papeterie
Bureau
Bureau
Bureau
Bureau
Bureau
Bureau
Bureau
Bureau
Bureau
Bureau
Bureau"")"),"Bureau")</f>
        <v>Bureau</v>
      </c>
      <c r="E88" s="5" t="str">
        <f>IFERROR(__xludf.DUMMYFUNCTION("AI(""Armoire D"")"),"Armoire D")</f>
        <v>Armoire D</v>
      </c>
      <c r="F88" s="5" t="str">
        <f>IFERROR(__xludf.DUMMYFUNCTION("AI(""70
42
2
3
14
34
10
10
8
23
8
3
1
1
7
12
29
24
24
4
17
5
4
1
1
8
198
34
9
11
8
11
24
2
31
3
4
12
10
56
21
20
160
100
6
22
21
50
47
1
56
120
2
1
75
270
900g
50g
40
100g
15
1
11
144
10
2
9
44
8
34
32
5
4
15
8
19
40
15
20
35
13
25
25
14
5
18
10
6
4
1
3
1"&amp;"
5 RAM
5 RAM (+1 VRAC)
3 RAM
4 RAM
 1 RAM + 1 VRAC
1 VRAC
1 RAM + 1 VRAC
3 RAM
1 RAM
VRAC
220
3
3
3
3
2
2
3
3
40ml
1
60
40
3
1
2
54
58
5
17
16
200
240
4
9
13
1
180
720
200
16
2
23
140
267
3 RAM
4
4
9
4
2000
21
5
1
2
51
2
10
4 RAM
7
1
3
3
70
91
157
97
92
"&amp;"94
214
34
90
98
174
554
1 596
101
67
22
7
1247
216
20
50
194
146
397
3
1
2
1
1
1
2
1
825
163
12
8
156
101
60
156
40
8
33
19
10
7
8
1
2
5
50
100
50
400
217
50
150
127
4
31
1
1
1
2
3
12
103
3
1
1
3
2
3 tasses 3 sous-coupe 
8
20
2 paires
2
50
2
46
40
4
2
6
4"&amp;"
3
5
9
5
4
120"")"),"18")</f>
        <v>18</v>
      </c>
    </row>
    <row r="89">
      <c r="A89" s="7" t="s">
        <v>182</v>
      </c>
      <c r="B89" s="4" t="s">
        <v>183</v>
      </c>
      <c r="C89" s="4">
        <v>10.0</v>
      </c>
      <c r="D89" s="5" t="str">
        <f>IFERROR(__xludf.DUMMYFUNCTION("AI(""Écriture
Écriture
Écriture
Écriture
Écriture
Écriture
Écriture
Écriture
Écriture
Écriture
Écriture
Écriture
Écriture
Écriture
Écriture
Écriture
Écriture
Écriture
Écriture
Bureau
Bureau
Bureau
Écriture
Écriture
Écriture
Bureau
Bureau
Écriture
Bureau
É"&amp;"criture
Bureau
Bureau
Papeterie
Bureau
Papeterie
Bureau
Bureau
Papeterie
Papeterie
Papeterie
Écriture
Papeterie
Bureau
Bureau
Bureau
Bureau
Bureau
Bureau
Classement
Bureau
Papeterie
Bureau
Bureau
Bureau
Classement
Bureau
Bureau
Bureau
Bureau
Bureau
Bureau"&amp;"
Bureau
Bureau
Bureau
Bureau
Bureau
Papeterie
Bureau
Consommables
Bureau
Bureau
Consommables
Consommables
Bureau
Consommables
Consommables
Bureau
Bureau
Papeterie
Bureau
Bureau
Bureau
Bureau
Bureau
Bureau
Bureau
Bureau
Bureau
Bureau
Bureau"")"),"Bureau")</f>
        <v>Bureau</v>
      </c>
      <c r="E89" s="5" t="str">
        <f>IFERROR(__xludf.DUMMYFUNCTION("AI(""Armoire D"")"),"Armoire D")</f>
        <v>Armoire D</v>
      </c>
      <c r="F89" s="5" t="str">
        <f>IFERROR(__xludf.DUMMYFUNCTION("AI(""70
42
2
3
14
34
10
10
8
23
8
3
1
1
7
12
29
24
24
4
17
5
4
1
1
8
198
34
9
11
8
11
24
2
31
3
4
12
10
56
21
20
160
100
6
22
21
50
47
1
56
120
2
1
75
270
900g
50g
40
100g
15
1
11
144
10
2
9
44
8
34
32
5
4
15
8
19
40
15
20
35
13
25
25
14
5
18
10
6
4
1
3
1"&amp;"
5 RAM
5 RAM (+1 VRAC)
3 RAM
4 RAM
 1 RAM + 1 VRAC
1 VRAC
1 RAM + 1 VRAC
3 RAM
1 RAM
VRAC
220
3
3
3
3
2
2
3
3
40ml
1
60
40
3
1
2
54
58
5
17
16
200
240
4
9
13
1
180
720
200
16
2
23
140
267
3 RAM
4
4
9
4
2000
21
5
1
2
51
2
10
4 RAM
7
1
3
3
70
91
157
97
92
"&amp;"94
214
34
90
98
174
554
1 596
101
67
22
7
1247
216
20
50
194
146
397
3
1
2
1
1
1
2
1
825
163
12
8
156
101
60
156
40
8
33
19
10
7
8
1
2
5
50
100
50
400
217
50
150
127
4
31
1
1
1
2
3
12
103
3
1
1
3
2
3 tasses 3 sous-coupe 
8
20
2 paires
2
50
2
46
40
4
2
6
4"&amp;"
3
5
9
5
4
120"")"),"10")</f>
        <v>10</v>
      </c>
    </row>
    <row r="90">
      <c r="A90" s="7" t="s">
        <v>184</v>
      </c>
      <c r="B90" s="4" t="s">
        <v>185</v>
      </c>
      <c r="C90" s="4">
        <v>6.0</v>
      </c>
      <c r="D90" s="5" t="str">
        <f>IFERROR(__xludf.DUMMYFUNCTION("AI(""Écriture
Écriture
Écriture
Écriture
Écriture
Écriture
Écriture
Écriture
Écriture
Écriture
Écriture
Écriture
Écriture
Écriture
Écriture
Écriture
Écriture
Écriture
Écriture
Bureau
Bureau
Bureau
Écriture
Écriture
Écriture
Bureau
Bureau
Écriture
Bureau
É"&amp;"criture
Bureau
Bureau
Papeterie
Bureau
Papeterie
Bureau
Bureau
Papeterie
Papeterie
Papeterie
Écriture
Papeterie
Bureau
Bureau
Bureau
Bureau
Bureau
Bureau
Classement
Bureau
Papeterie
Bureau
Bureau
Bureau
Classement
Bureau
Bureau
Bureau
Bureau
Bureau
Bureau"&amp;"
Bureau
Bureau
Bureau
Bureau
Bureau
Papeterie
Bureau
Consommables
Bureau
Bureau
Consommables
Consommables
Bureau
Consommables
Consommables
Bureau
Bureau
Papeterie
Bureau
Bureau
Bureau
Bureau
Bureau
Bureau
Bureau
Bureau
Bureau
Bureau
Bureau"")"),"Bureau")</f>
        <v>Bureau</v>
      </c>
      <c r="E90" s="5" t="str">
        <f>IFERROR(__xludf.DUMMYFUNCTION("AI(""Armoire D"")"),"Armoire D")</f>
        <v>Armoire D</v>
      </c>
      <c r="F90" s="5" t="str">
        <f>IFERROR(__xludf.DUMMYFUNCTION("AI(""70
42
2
3
14
34
10
10
8
23
8
3
1
1
7
12
29
24
24
4
17
5
4
1
1
8
198
34
9
11
8
11
24
2
31
3
4
12
10
56
21
20
160
100
6
22
21
50
47
1
56
120
2
1
75
270
900g
50g
40
100g
15
1
11
144
10
2
9
44
8
34
32
5
4
15
8
19
40
15
20
35
13
25
25
14
5
18
10
6
4
1
3
1"&amp;"
5 RAM
5 RAM (+1 VRAC)
3 RAM
4 RAM
 1 RAM + 1 VRAC
1 VRAC
1 RAM + 1 VRAC
3 RAM
1 RAM
VRAC
220
3
3
3
3
2
2
3
3
40ml
1
60
40
3
1
2
54
58
5
17
16
200
240
4
9
13
1
180
720
200
16
2
23
140
267
3 RAM
4
4
9
4
2000
21
5
1
2
51
2
10
4 RAM
7
1
3
3
70
91
157
97
92
"&amp;"94
214
34
90
98
174
554
1 596
101
67
22
7
1247
216
20
50
194
146
397
3
1
2
1
1
1
2
1
825
163
12
8
156
101
60
156
40
8
33
19
10
7
8
1
2
5
50
100
50
400
217
50
150
127
4
31
1
1
1
2
3
12
103
3
1
1
3
2
3 tasses 3 sous-coupe 
8
20
2 paires
2
50
2
46
40
4
2
6
4"&amp;"
3
5
9
5
4
120"")"),"6")</f>
        <v>6</v>
      </c>
    </row>
    <row r="91">
      <c r="A91" s="3" t="s">
        <v>186</v>
      </c>
      <c r="B91" s="4" t="s">
        <v>187</v>
      </c>
      <c r="C91" s="4">
        <v>4.0</v>
      </c>
      <c r="D91" s="5" t="str">
        <f>IFERROR(__xludf.DUMMYFUNCTION("AI(""Écriture
Écriture
Écriture
Écriture
Écriture
Écriture
Écriture
Écriture
Écriture
Écriture
Écriture
Écriture
Écriture
Écriture
Écriture
Écriture
Écriture
Écriture
Écriture
Bureau
Bureau
Bureau
Écriture
Écriture
Écriture
Bureau
Bureau
Écriture
Bureau
É"&amp;"criture
Bureau
Bureau
Papeterie
Bureau
Papeterie
Bureau
Bureau
Papeterie
Papeterie
Papeterie
Écriture
Papeterie
Bureau
Bureau
Bureau
Bureau
Bureau
Bureau
Classement
Bureau
Papeterie
Bureau
Bureau
Bureau
Classement
Bureau
Bureau
Bureau
Bureau
Bureau
Bureau"&amp;"
Bureau
Bureau
Bureau
Bureau
Bureau
Papeterie
Bureau
Consommables
Bureau
Bureau
Consommables
Consommables
Bureau
Consommables
Consommables
Bureau
Bureau
Papeterie
Bureau
Bureau
Bureau
Bureau
Bureau
Bureau
Bureau
Bureau
Bureau
Bureau
Bureau"")"),"Bureau")</f>
        <v>Bureau</v>
      </c>
      <c r="E91" s="5" t="str">
        <f>IFERROR(__xludf.DUMMYFUNCTION("AI(""Armoire D"")"),"Armoire D")</f>
        <v>Armoire D</v>
      </c>
      <c r="F91" s="5" t="str">
        <f>IFERROR(__xludf.DUMMYFUNCTION("AI(""70
42
2
3
14
34
10
10
8
23
8
3
1
1
7
12
29
24
24
4
17
5
4
1
1
8
198
34
9
11
8
11
24
2
31
3
4
12
10
56
21
20
160
100
6
22
21
50
47
1
56
120
2
1
75
270
900g
50g
40
100g
15
1
11
144
10
2
9
44
8
34
32
5
4
15
8
19
40
15
20
35
13
25
25
14
5
18
10
6
4
1
3
1"&amp;"
5 RAM
5 RAM (+1 VRAC)
3 RAM
4 RAM
 1 RAM + 1 VRAC
1 VRAC
1 RAM + 1 VRAC
3 RAM
1 RAM
VRAC
220
3
3
3
3
2
2
3
3
40ml
1
60
40
3
1
2
54
58
5
17
16
200
240
4
9
13
1
180
720
200
16
2
23
140
267
3 RAM
4
4
9
4
2000
21
5
1
2
51
2
10
4 RAM
7
1
3
3
70
91
157
97
92
"&amp;"94
214
34
90
98
174
554
1 596
101
67
22
7
1247
216
20
50
194
146
397
3
1
2
1
1
1
2
1
825
163
12
8
156
101
60
156
40
8
33
19
10
7
8
1
2
5
50
100
50
400
217
50
150
127
4
31
1
1
1
2
3
12
103
3
1
1
3
2
3 tasses 3 sous-coupe 
8
20
2 paires
2
50
2
46
40
4
2
6
4"&amp;"
3
5
9
5
4
120"")"),"4")</f>
        <v>4</v>
      </c>
    </row>
    <row r="92">
      <c r="A92" s="11" t="s">
        <v>188</v>
      </c>
      <c r="B92" s="4" t="s">
        <v>189</v>
      </c>
      <c r="C92" s="4">
        <v>1.0</v>
      </c>
      <c r="D92" s="12" t="s">
        <v>190</v>
      </c>
      <c r="E92" s="4" t="s">
        <v>9</v>
      </c>
      <c r="F92" s="6" t="str">
        <f>IFERROR(__xludf.DUMMYFUNCTION("AI(""70
42
2
3
14
34
10
10
8
23
8
3
1
1
7
12
29
24
24
4
17
5
4
1
1
8
198
34
9
11
8
11
24
2
31
3
4
12
10
56
21
20
160
100
6
22
21
50
47
1
56
120
2
1
75
270
900g
50g
40
100g
15
1
11
144
10
2
9
44
8
34
32
5
4
15
8
19
40
15
20
35
13
25
25
14
5
18
10
6
4
1
3
1"&amp;"
5 RAM
5 RAM (+1 VRAC)
3 RAM
4 RAM
 1 RAM + 1 VRAC
1 VRAC
1 RAM + 1 VRAC
3 RAM
1 RAM
VRAC
220
3
3
3
3
2
2
3
3
40ml
1
60
40
3
1
2
54
58
5
17
16
200
240
4
9
13
1
180
720
200
16
2
23
140
267
3 RAM
4
4
9
4
2000
21
5
1
2
51
2
10
4 RAM
7
1
3
3
70
91
157
97
92
"&amp;"94
214
34
90
98
174
554
1 596
101
67
22
7
1247
216
20
50
194
146
397
3
1
2
1
1
1
2
1
825
163
12
8
156
101
60
156
40
8
33
19
10
7
8
1
2
5
50
100
50
400
217
50
150
127
4
31
1
1
1
2
3
12
103
3
1
1
3
2
3 tasses 3 sous-coupe 
8
20
2 paires
2
50
2
46
40
4
2
6
4"&amp;"
3
5
9
5
4
120"")"),"1")</f>
        <v>1</v>
      </c>
      <c r="G92" s="13"/>
      <c r="J92" s="13"/>
      <c r="M92" s="13"/>
      <c r="P92" s="13"/>
      <c r="S92" s="13"/>
    </row>
    <row r="93" ht="21.75" customHeight="1">
      <c r="A93" s="11" t="s">
        <v>191</v>
      </c>
      <c r="B93" s="4" t="s">
        <v>192</v>
      </c>
      <c r="C93" s="4">
        <v>3.0</v>
      </c>
      <c r="D93" s="12" t="s">
        <v>190</v>
      </c>
      <c r="E93" s="4" t="s">
        <v>9</v>
      </c>
      <c r="F93" s="4">
        <v>3.0</v>
      </c>
      <c r="G93" s="13"/>
      <c r="H93" s="14"/>
      <c r="I93" s="14"/>
      <c r="J93" s="13"/>
      <c r="K93" s="14"/>
      <c r="L93" s="14"/>
      <c r="M93" s="13"/>
      <c r="N93" s="14"/>
      <c r="O93" s="14"/>
      <c r="P93" s="13"/>
      <c r="Q93" s="14"/>
      <c r="R93" s="14"/>
      <c r="S93" s="13"/>
      <c r="T93" s="14"/>
      <c r="U93" s="14"/>
    </row>
    <row r="94">
      <c r="A94" s="15" t="s">
        <v>193</v>
      </c>
      <c r="B94" s="16" t="s">
        <v>194</v>
      </c>
      <c r="C94" s="16">
        <v>1.0</v>
      </c>
      <c r="D94" s="16" t="str">
        <f>IFERROR(__xludf.DUMMYFUNCTION("AI(""Papeterie
Papeterie
Papeterie
Papeterie
Papeterie
Papeterie
Papeterie
Papeterie
Papeterie
Classement
Classement
Papeterie
Consommables
Consommables
Consommables
Consommables
Consommables
Consommables
Consommables
Consommables
Consommables
Consommable"&amp;"s
Classement
Classement
Classement
Classement
Classement
Classement
Classement
Classement
Classement
Enveloppes
Enveloppes
Papeterie"")"),"Papeterie")</f>
        <v>Papeterie</v>
      </c>
      <c r="E94" s="15" t="s">
        <v>9</v>
      </c>
      <c r="F94" s="17" t="str">
        <f>IFERROR(__xludf.DUMMYFUNCTION("AI(""70
42
2
3
14
34
10
10
8
23
8
3
1
1
7
12
29
24
24
4
17
5
4
1
1
8
198
34
9
11
8
11
24
2
31
3
4
12
10
56
21
20
160
100
6
22
21
50
47
1
56
120
2
1
75
270
900g
50g
40
100g
15
1
11
144
10
2
9
44
8
34
32
5
4
15
8
19
40
15
20
35
13
25
25
14
5
18
10
6
4
1
3
1"&amp;"
5 RAM
5 RAM (+1 VRAC)
3 RAM
4 RAM
 1 RAM + 1 VRAC
1 VRAC
1 RAM + 1 VRAC
3 RAM
1 RAM
VRAC
220
3
3
3
3
2
2
3
3
40ml
1
60
40
3
1
2
54
58
5
17
16
200
240
4
9
13
1
180
720
200
16
2
23
140
267
3 RAM
4
4
9
4
2000
21
5
1
2
51
2
10
4 RAM
7
1
3
3
70
91
157
97
92
"&amp;"94
214
34
90
98
174
554
1 596
101
67
22
7
1247
216
20
50
194
146
397
3
1
2
1
1
1
2
1
825
163
12
8
156
101
60
156
40
8
33
19
10
7
8
1
2
5
50
100
50
400
217
50
150
127
4
31
1
1
1
2
3
12
103
3
1
1
3
2
3 tasses 3 sous-coupe 
8
20
2 paires
2
50
2
46
40
4
2
6
4"&amp;"
3
5
9
5
4
120"")"),"1")</f>
        <v>1</v>
      </c>
      <c r="G94" s="18"/>
      <c r="H94" s="18"/>
      <c r="I94" s="18"/>
      <c r="J94" s="18"/>
      <c r="K94" s="18"/>
      <c r="L94" s="18"/>
      <c r="M94" s="18"/>
      <c r="N94" s="18"/>
      <c r="O94" s="18"/>
      <c r="P94" s="18"/>
      <c r="Q94" s="18"/>
      <c r="R94" s="18"/>
      <c r="S94" s="18"/>
      <c r="T94" s="18"/>
      <c r="U94" s="18"/>
      <c r="V94" s="18"/>
      <c r="W94" s="18"/>
    </row>
    <row r="95">
      <c r="A95" s="19" t="s">
        <v>195</v>
      </c>
      <c r="B95" s="20" t="s">
        <v>196</v>
      </c>
      <c r="C95" s="20" t="s">
        <v>197</v>
      </c>
      <c r="D95" s="21" t="str">
        <f>IFERROR(__xludf.DUMMYFUNCTION("AI(""Papeterie
Papeterie
Papeterie
Papeterie
Papeterie
Papeterie
Papeterie
Papeterie
Papeterie
Classement
Classement
Papeterie
Consommables
Consommables
Consommables
Consommables
Consommables
Consommables
Consommables
Consommables
Consommables
Consommable"&amp;"s
Classement
Classement
Classement
Classement
Classement
Classement
Classement
Classement
Classement
Enveloppes
Enveloppes
Papeterie"")"),"Papeterie")</f>
        <v>Papeterie</v>
      </c>
      <c r="E95" s="20" t="s">
        <v>198</v>
      </c>
      <c r="F95" s="14">
        <v>5.0</v>
      </c>
    </row>
    <row r="96">
      <c r="A96" s="20" t="s">
        <v>199</v>
      </c>
      <c r="B96" s="20" t="s">
        <v>200</v>
      </c>
      <c r="C96" s="20">
        <v>6.0</v>
      </c>
      <c r="D96" s="21" t="str">
        <f>IFERROR(__xludf.DUMMYFUNCTION("AI(""Papeterie
Papeterie
Papeterie
Papeterie
Papeterie
Papeterie
Papeterie
Papeterie
Papeterie
Classement
Classement
Papeterie
Consommables
Consommables
Consommables
Consommables
Consommables
Consommables
Consommables
Consommables
Consommables
Consommable"&amp;"s
Classement
Classement
Classement
Classement
Classement
Classement
Classement
Classement
Classement
Enveloppes
Enveloppes
Papeterie"")"),"Papeterie")</f>
        <v>Papeterie</v>
      </c>
      <c r="E96" s="20" t="s">
        <v>198</v>
      </c>
      <c r="F96" s="14">
        <v>6.0</v>
      </c>
    </row>
    <row r="97">
      <c r="A97" s="20" t="s">
        <v>201</v>
      </c>
      <c r="B97" s="20" t="s">
        <v>202</v>
      </c>
      <c r="C97" s="20">
        <v>3.0</v>
      </c>
      <c r="D97" s="21" t="str">
        <f>IFERROR(__xludf.DUMMYFUNCTION("AI(""Papeterie
Papeterie
Papeterie
Papeterie
Papeterie
Papeterie
Papeterie
Papeterie
Papeterie
Classement
Classement
Papeterie
Consommables
Consommables
Consommables
Consommables
Consommables
Consommables
Consommables
Consommables
Consommables
Consommable"&amp;"s
Classement
Classement
Classement
Classement
Classement
Classement
Classement
Classement
Classement
Enveloppes
Enveloppes
Papeterie"")"),"Papeterie")</f>
        <v>Papeterie</v>
      </c>
      <c r="E97" s="20" t="s">
        <v>198</v>
      </c>
      <c r="F97" s="14">
        <v>3.0</v>
      </c>
    </row>
    <row r="98">
      <c r="A98" s="19" t="s">
        <v>203</v>
      </c>
      <c r="B98" s="20" t="s">
        <v>204</v>
      </c>
      <c r="C98" s="20">
        <v>4.0</v>
      </c>
      <c r="D98" s="21" t="str">
        <f>IFERROR(__xludf.DUMMYFUNCTION("AI(""Papeterie
Papeterie
Papeterie
Papeterie
Papeterie
Papeterie
Papeterie
Papeterie
Papeterie
Classement
Classement
Papeterie
Consommables
Consommables
Consommables
Consommables
Consommables
Consommables
Consommables
Consommables
Consommables
Consommable"&amp;"s
Classement
Classement
Classement
Classement
Classement
Classement
Classement
Classement
Classement
Enveloppes
Enveloppes
Papeterie"")"),"Papeterie")</f>
        <v>Papeterie</v>
      </c>
      <c r="E98" s="20" t="s">
        <v>198</v>
      </c>
      <c r="F98" s="14">
        <v>4.0</v>
      </c>
    </row>
    <row r="99">
      <c r="A99" s="20" t="s">
        <v>205</v>
      </c>
      <c r="B99" s="20" t="s">
        <v>206</v>
      </c>
      <c r="C99" s="20">
        <v>2.0</v>
      </c>
      <c r="D99" s="21" t="str">
        <f>IFERROR(__xludf.DUMMYFUNCTION("AI(""Papeterie
Papeterie
Papeterie
Papeterie
Papeterie
Papeterie
Papeterie
Papeterie
Papeterie
Classement
Classement
Papeterie
Consommables
Consommables
Consommables
Consommables
Consommables
Consommables
Consommables
Consommables
Consommables
Consommable"&amp;"s
Classement
Classement
Classement
Classement
Classement
Classement
Classement
Classement
Classement
Enveloppes
Enveloppes
Papeterie"")"),"Papeterie")</f>
        <v>Papeterie</v>
      </c>
      <c r="E99" s="20" t="s">
        <v>198</v>
      </c>
      <c r="F99" s="14">
        <v>2.0</v>
      </c>
    </row>
    <row r="100">
      <c r="A100" s="19" t="s">
        <v>207</v>
      </c>
      <c r="B100" s="20" t="s">
        <v>208</v>
      </c>
      <c r="C100" s="20">
        <v>100.0</v>
      </c>
      <c r="D100" s="21" t="str">
        <f>IFERROR(__xludf.DUMMYFUNCTION("AI(""Papeterie
Papeterie
Papeterie
Papeterie
Papeterie
Papeterie
Papeterie
Papeterie
Papeterie
Classement
Classement
Papeterie
Consommables
Consommables
Consommables
Consommables
Consommables
Consommables
Consommables
Consommables
Consommables
Consommable"&amp;"s
Classement
Classement
Classement
Classement
Classement
Classement
Classement
Classement
Classement
Enveloppes
Enveloppes
Papeterie"")"),"Papeterie")</f>
        <v>Papeterie</v>
      </c>
      <c r="E100" s="20" t="s">
        <v>198</v>
      </c>
      <c r="F100" s="14">
        <v>100.0</v>
      </c>
    </row>
    <row r="101">
      <c r="A101" s="20" t="s">
        <v>209</v>
      </c>
      <c r="B101" s="20" t="s">
        <v>210</v>
      </c>
      <c r="C101" s="20">
        <v>2.0</v>
      </c>
      <c r="D101" s="21" t="str">
        <f>IFERROR(__xludf.DUMMYFUNCTION("AI(""Papeterie
Papeterie
Papeterie
Papeterie
Papeterie
Papeterie
Papeterie
Papeterie
Papeterie
Classement
Classement
Papeterie
Consommables
Consommables
Consommables
Consommables
Consommables
Consommables
Consommables
Consommables
Consommables
Consommable"&amp;"s
Classement
Classement
Classement
Classement
Classement
Classement
Classement
Classement
Classement
Enveloppes
Enveloppes
Papeterie"")"),"Papeterie")</f>
        <v>Papeterie</v>
      </c>
      <c r="E101" s="20" t="s">
        <v>198</v>
      </c>
      <c r="F101" s="14">
        <v>2.0</v>
      </c>
    </row>
    <row r="102">
      <c r="A102" s="20" t="s">
        <v>211</v>
      </c>
      <c r="B102" s="20" t="s">
        <v>212</v>
      </c>
      <c r="C102" s="20">
        <v>3.0</v>
      </c>
      <c r="D102" s="21" t="str">
        <f>IFERROR(__xludf.DUMMYFUNCTION("AI(""Papeterie
Papeterie
Papeterie
Papeterie
Papeterie
Papeterie
Papeterie
Papeterie
Papeterie
Classement
Classement
Papeterie
Consommables
Consommables
Consommables
Consommables
Consommables
Consommables
Consommables
Consommables
Consommables
Consommable"&amp;"s
Classement
Classement
Classement
Classement
Classement
Classement
Classement
Classement
Classement
Enveloppes
Enveloppes
Papeterie"")"),"Papeterie")</f>
        <v>Papeterie</v>
      </c>
      <c r="E102" s="20" t="s">
        <v>198</v>
      </c>
      <c r="F102" s="14">
        <v>3.0</v>
      </c>
    </row>
    <row r="103">
      <c r="A103" s="20" t="s">
        <v>213</v>
      </c>
      <c r="B103" s="20" t="s">
        <v>214</v>
      </c>
      <c r="C103" s="20">
        <v>1.0</v>
      </c>
      <c r="D103" s="21" t="str">
        <f>IFERROR(__xludf.DUMMYFUNCTION("AI(""Papeterie
Papeterie
Papeterie
Papeterie
Papeterie
Papeterie
Papeterie
Papeterie
Papeterie
Classement
Classement
Papeterie
Consommables
Consommables
Consommables
Consommables
Consommables
Consommables
Consommables
Consommables
Consommables
Consommable"&amp;"s
Classement
Classement
Classement
Classement
Classement
Classement
Classement
Classement
Classement
Enveloppes
Enveloppes
Papeterie"")"),"Papeterie")</f>
        <v>Papeterie</v>
      </c>
      <c r="E103" s="20" t="s">
        <v>198</v>
      </c>
      <c r="F103" s="14">
        <v>1.0</v>
      </c>
    </row>
    <row r="104">
      <c r="A104" s="20" t="s">
        <v>215</v>
      </c>
      <c r="B104" s="20" t="s">
        <v>216</v>
      </c>
      <c r="C104" s="20">
        <v>100.0</v>
      </c>
      <c r="D104" s="21" t="str">
        <f>IFERROR(__xludf.DUMMYFUNCTION("AI(""Papeterie
Papeterie
Papeterie
Papeterie
Papeterie
Papeterie
Papeterie
Papeterie
Papeterie
Classement
Classement
Papeterie
Consommables
Consommables
Consommables
Consommables
Consommables
Consommables
Consommables
Consommables
Consommables
Consommable"&amp;"s
Classement
Classement
Classement
Classement
Classement
Classement
Classement
Classement
Classement
Enveloppes
Enveloppes
Papeterie"")"),"Classement")</f>
        <v>Classement</v>
      </c>
      <c r="E104" s="20" t="s">
        <v>198</v>
      </c>
      <c r="F104" s="14">
        <v>100.0</v>
      </c>
    </row>
    <row r="105">
      <c r="A105" s="20" t="s">
        <v>217</v>
      </c>
      <c r="B105" s="20" t="s">
        <v>218</v>
      </c>
      <c r="C105" s="20">
        <v>220.0</v>
      </c>
      <c r="D105" s="21" t="str">
        <f>IFERROR(__xludf.DUMMYFUNCTION("AI(""Papeterie
Papeterie
Papeterie
Papeterie
Papeterie
Papeterie
Papeterie
Papeterie
Papeterie
Classement
Classement
Papeterie
Consommables
Consommables
Consommables
Consommables
Consommables
Consommables
Consommables
Consommables
Consommables
Consommable"&amp;"s
Classement
Classement
Classement
Classement
Classement
Classement
Classement
Classement
Classement
Enveloppes
Enveloppes
Papeterie"")"),"Classement")</f>
        <v>Classement</v>
      </c>
      <c r="E105" s="20" t="s">
        <v>198</v>
      </c>
      <c r="F105" s="22" t="str">
        <f>IFERROR(__xludf.DUMMYFUNCTION("AI(""70
42
2
3
14
34
10
10
8
23
8
3
1
1
7
12
29
24
24
4
17
5
4
1
1
8
198
34
9
11
8
11
24
2
31
3
4
12
10
56
21
20
160
100
6
22
21
50
47
1
56
120
2
1
75
270
900g
50g
40
100g
15
1
11
144
10
2
9
44
8
34
32
5
4
15
8
19
40
15
20
35
13
25
25
14
5
18
10
6
4
1
3
1"&amp;"
5 RAM
5 RAM (+1 VRAC)
3 RAM
4 RAM
 1 RAM + 1 VRAC
1 VRAC
1 RAM + 1 VRAC
3 RAM
1 RAM
VRAC
220
3
3
3
3
2
2
3
3
40ml
1
60
40
3
1
2
54
58
5
17
16
200
240
4
9
13
1
180
720
200
16
2
23
140
267
3 RAM
4
4
9
4
2000
21
5
1
2
51
2
10
4 RAM
7
1
3
3
70
91
157
97
92
"&amp;"94
214
34
90
98
174
554
1 596
101
67
22
7
1247
216
20
50
194
146
397
3
1
2
1
1
1
2
1
825
163
12
8
156
101
60
156
40
8
33
19
10
7
8
1
2
5
50
100
50
400
217
50
150
127
4
31
1
1
1
2
3
12
103
3
1
1
3
2
3 tasses 3 sous-coupe 
8
20
2 paires
2
50
2
46
40
4
2
6
4"&amp;"
3
5
9
5
4
120"")"),"220")</f>
        <v>220</v>
      </c>
    </row>
    <row r="106">
      <c r="A106" s="19" t="s">
        <v>219</v>
      </c>
      <c r="B106" s="20" t="s">
        <v>220</v>
      </c>
      <c r="C106" s="20">
        <v>3.0</v>
      </c>
      <c r="D106" s="20" t="s">
        <v>221</v>
      </c>
      <c r="E106" s="20" t="s">
        <v>198</v>
      </c>
      <c r="F106" s="22" t="str">
        <f>IFERROR(__xludf.DUMMYFUNCTION("AI(""70
42
2
3
14
34
10
10
8
23
8
3
1
1
7
12
29
24
24
4
17
5
4
1
1
8
198
34
9
11
8
11
24
2
31
3
4
12
10
56
21
20
160
100
6
22
21
50
47
1
56
120
2
1
75
270
900g
50g
40
100g
15
1
11
144
10
2
9
44
8
34
32
5
4
15
8
19
40
15
20
35
13
25
25
14
5
18
10
6
4
1
3
1"&amp;"
5 RAM
5 RAM (+1 VRAC)
3 RAM
4 RAM
 1 RAM + 1 VRAC
1 VRAC
1 RAM + 1 VRAC
3 RAM
1 RAM
VRAC
220
3
3
3
3
2
2
3
3
40ml
1
60
40
3
1
2
54
58
5
17
16
200
240
4
9
13
1
180
720
200
16
2
23
140
267
3 RAM
4
4
9
4
2000
21
5
1
2
51
2
10
4 RAM
7
1
3
3
70
91
157
97
92
"&amp;"94
214
34
90
98
174
554
1 596
101
67
22
7
1247
216
20
50
194
146
397
3
1
2
1
1
1
2
1
825
163
12
8
156
101
60
156
40
8
33
19
10
7
8
1
2
5
50
100
50
400
217
50
150
127
4
31
1
1
1
2
3
12
103
3
1
1
3
2
3 tasses 3 sous-coupe 
8
20
2 paires
2
50
2
46
40
4
2
6
4"&amp;"
3
5
9
5
4
120"")"),"3")</f>
        <v>3</v>
      </c>
    </row>
    <row r="107">
      <c r="A107" s="19" t="s">
        <v>222</v>
      </c>
      <c r="B107" s="20" t="s">
        <v>223</v>
      </c>
      <c r="C107" s="20">
        <v>3.0</v>
      </c>
      <c r="D107" s="20" t="s">
        <v>221</v>
      </c>
      <c r="E107" s="20" t="s">
        <v>198</v>
      </c>
      <c r="F107" s="22" t="str">
        <f>IFERROR(__xludf.DUMMYFUNCTION("AI(""70
42
2
3
14
34
10
10
8
23
8
3
1
1
7
12
29
24
24
4
17
5
4
1
1
8
198
34
9
11
8
11
24
2
31
3
4
12
10
56
21
20
160
100
6
22
21
50
47
1
56
120
2
1
75
270
900g
50g
40
100g
15
1
11
144
10
2
9
44
8
34
32
5
4
15
8
19
40
15
20
35
13
25
25
14
5
18
10
6
4
1
3
1"&amp;"
5 RAM
5 RAM (+1 VRAC)
3 RAM
4 RAM
 1 RAM + 1 VRAC
1 VRAC
1 RAM + 1 VRAC
3 RAM
1 RAM
VRAC
220
3
3
3
3
2
2
3
3
40ml
1
60
40
3
1
2
54
58
5
17
16
200
240
4
9
13
1
180
720
200
16
2
23
140
267
3 RAM
4
4
9
4
2000
21
5
1
2
51
2
10
4 RAM
7
1
3
3
70
91
157
97
92
"&amp;"94
214
34
90
98
174
554
1 596
101
67
22
7
1247
216
20
50
194
146
397
3
1
2
1
1
1
2
1
825
163
12
8
156
101
60
156
40
8
33
19
10
7
8
1
2
5
50
100
50
400
217
50
150
127
4
31
1
1
1
2
3
12
103
3
1
1
3
2
3 tasses 3 sous-coupe 
8
20
2 paires
2
50
2
46
40
4
2
6
4"&amp;"
3
5
9
5
4
120"")"),"3")</f>
        <v>3</v>
      </c>
    </row>
    <row r="108">
      <c r="A108" s="23" t="s">
        <v>224</v>
      </c>
      <c r="B108" s="24" t="s">
        <v>220</v>
      </c>
      <c r="C108" s="23">
        <v>3.0</v>
      </c>
      <c r="D108" s="20" t="s">
        <v>221</v>
      </c>
      <c r="E108" s="20" t="s">
        <v>198</v>
      </c>
      <c r="F108" s="22" t="str">
        <f>IFERROR(__xludf.DUMMYFUNCTION("AI(""70
42
2
3
14
34
10
10
8
23
8
3
1
1
7
12
29
24
24
4
17
5
4
1
1
8
198
34
9
11
8
11
24
2
31
3
4
12
10
56
21
20
160
100
6
22
21
50
47
1
56
120
2
1
75
270
900g
50g
40
100g
15
1
11
144
10
2
9
44
8
34
32
5
4
15
8
19
40
15
20
35
13
25
25
14
5
18
10
6
4
1
3
1"&amp;"
5 RAM
5 RAM (+1 VRAC)
3 RAM
4 RAM
 1 RAM + 1 VRAC
1 VRAC
1 RAM + 1 VRAC
3 RAM
1 RAM
VRAC
220
3
3
3
3
2
2
3
3
40ml
1
60
40
3
1
2
54
58
5
17
16
200
240
4
9
13
1
180
720
200
16
2
23
140
267
3 RAM
4
4
9
4
2000
21
5
1
2
51
2
10
4 RAM
7
1
3
3
70
91
157
97
92
"&amp;"94
214
34
90
98
174
554
1 596
101
67
22
7
1247
216
20
50
194
146
397
3
1
2
1
1
1
2
1
825
163
12
8
156
101
60
156
40
8
33
19
10
7
8
1
2
5
50
100
50
400
217
50
150
127
4
31
1
1
1
2
3
12
103
3
1
1
3
2
3 tasses 3 sous-coupe 
8
20
2 paires
2
50
2
46
40
4
2
6
4"&amp;"
3
5
9
5
4
120"")"),"3")</f>
        <v>3</v>
      </c>
    </row>
    <row r="109">
      <c r="A109" s="20" t="s">
        <v>225</v>
      </c>
      <c r="B109" s="20" t="s">
        <v>223</v>
      </c>
      <c r="C109" s="20">
        <v>3.0</v>
      </c>
      <c r="D109" s="20" t="s">
        <v>221</v>
      </c>
      <c r="E109" s="20" t="s">
        <v>198</v>
      </c>
      <c r="F109" s="22" t="str">
        <f>IFERROR(__xludf.DUMMYFUNCTION("AI(""70
42
2
3
14
34
10
10
8
23
8
3
1
1
7
12
29
24
24
4
17
5
4
1
1
8
198
34
9
11
8
11
24
2
31
3
4
12
10
56
21
20
160
100
6
22
21
50
47
1
56
120
2
1
75
270
900g
50g
40
100g
15
1
11
144
10
2
9
44
8
34
32
5
4
15
8
19
40
15
20
35
13
25
25
14
5
18
10
6
4
1
3
1"&amp;"
5 RAM
5 RAM (+1 VRAC)
3 RAM
4 RAM
 1 RAM + 1 VRAC
1 VRAC
1 RAM + 1 VRAC
3 RAM
1 RAM
VRAC
220
3
3
3
3
2
2
3
3
40ml
1
60
40
3
1
2
54
58
5
17
16
200
240
4
9
13
1
180
720
200
16
2
23
140
267
3 RAM
4
4
9
4
2000
21
5
1
2
51
2
10
4 RAM
7
1
3
3
70
91
157
97
92
"&amp;"94
214
34
90
98
174
554
1 596
101
67
22
7
1247
216
20
50
194
146
397
3
1
2
1
1
1
2
1
825
163
12
8
156
101
60
156
40
8
33
19
10
7
8
1
2
5
50
100
50
400
217
50
150
127
4
31
1
1
1
2
3
12
103
3
1
1
3
2
3 tasses 3 sous-coupe 
8
20
2 paires
2
50
2
46
40
4
2
6
4"&amp;"
3
5
9
5
4
120"")"),"3")</f>
        <v>3</v>
      </c>
    </row>
    <row r="110">
      <c r="A110" s="20" t="s">
        <v>226</v>
      </c>
      <c r="B110" s="20" t="s">
        <v>227</v>
      </c>
      <c r="C110" s="20">
        <v>2.0</v>
      </c>
      <c r="D110" s="20" t="s">
        <v>221</v>
      </c>
      <c r="E110" s="20" t="s">
        <v>198</v>
      </c>
      <c r="F110" s="22" t="str">
        <f>IFERROR(__xludf.DUMMYFUNCTION("AI(""70
42
2
3
14
34
10
10
8
23
8
3
1
1
7
12
29
24
24
4
17
5
4
1
1
8
198
34
9
11
8
11
24
2
31
3
4
12
10
56
21
20
160
100
6
22
21
50
47
1
56
120
2
1
75
270
900g
50g
40
100g
15
1
11
144
10
2
9
44
8
34
32
5
4
15
8
19
40
15
20
35
13
25
25
14
5
18
10
6
4
1
3
1"&amp;"
5 RAM
5 RAM (+1 VRAC)
3 RAM
4 RAM
 1 RAM + 1 VRAC
1 VRAC
1 RAM + 1 VRAC
3 RAM
1 RAM
VRAC
220
3
3
3
3
2
2
3
3
40ml
1
60
40
3
1
2
54
58
5
17
16
200
240
4
9
13
1
180
720
200
16
2
23
140
267
3 RAM
4
4
9
4
2000
21
5
1
2
51
2
10
4 RAM
7
1
3
3
70
91
157
97
92
"&amp;"94
214
34
90
98
174
554
1 596
101
67
22
7
1247
216
20
50
194
146
397
3
1
2
1
1
1
2
1
825
163
12
8
156
101
60
156
40
8
33
19
10
7
8
1
2
5
50
100
50
400
217
50
150
127
4
31
1
1
1
2
3
12
103
3
1
1
3
2
3 tasses 3 sous-coupe 
8
20
2 paires
2
50
2
46
40
4
2
6
4"&amp;"
3
5
9
5
4
120"")"),"2")</f>
        <v>2</v>
      </c>
    </row>
    <row r="111">
      <c r="A111" s="19" t="s">
        <v>228</v>
      </c>
      <c r="B111" s="20" t="s">
        <v>227</v>
      </c>
      <c r="C111" s="20">
        <v>2.0</v>
      </c>
      <c r="D111" s="20" t="s">
        <v>221</v>
      </c>
      <c r="E111" s="20" t="s">
        <v>198</v>
      </c>
      <c r="F111" s="14">
        <v>2.0</v>
      </c>
    </row>
    <row r="112">
      <c r="A112" s="19" t="s">
        <v>229</v>
      </c>
      <c r="B112" s="23" t="s">
        <v>230</v>
      </c>
      <c r="C112" s="23">
        <v>3.0</v>
      </c>
      <c r="D112" s="20" t="s">
        <v>221</v>
      </c>
      <c r="E112" s="20" t="s">
        <v>198</v>
      </c>
      <c r="F112" s="22" t="str">
        <f>IFERROR(__xludf.DUMMYFUNCTION("AI(""70
42
2
3
14
34
10
10
8
23
8
3
1
1
7
12
29
24
24
4
17
5
4
1
1
8
198
34
9
11
8
11
24
2
31
3
4
12
10
56
21
20
160
100
6
22
21
50
47
1
56
120
2
1
75
270
900g
50g
40
100g
15
1
11
144
10
2
9
44
8
34
32
5
4
15
8
19
40
15
20
35
13
25
25
14
5
18
10
6
4
1
3
1"&amp;"
5 RAM
5 RAM (+1 VRAC)
3 RAM
4 RAM
 1 RAM + 1 VRAC
1 VRAC
1 RAM + 1 VRAC
3 RAM
1 RAM
VRAC
220
3
3
3
3
2
2
3
3
40ml
1
60
40
3
1
2
54
58
5
17
16
200
240
4
9
13
1
180
720
200
16
2
23
140
267
3 RAM
4
4
9
4
2000
21
5
1
2
51
2
10
4 RAM
7
1
3
3
70
91
157
97
92
"&amp;"94
214
34
90
98
174
554
1 596
101
67
22
7
1247
216
20
50
194
146
397
3
1
2
1
1
1
2
1
825
163
12
8
156
101
60
156
40
8
33
19
10
7
8
1
2
5
50
100
50
400
217
50
150
127
4
31
1
1
1
2
3
12
103
3
1
1
3
2
3 tasses 3 sous-coupe 
8
20
2 paires
2
50
2
46
40
4
2
6
4"&amp;"
3
5
9
5
4
120"")"),"3")</f>
        <v>3</v>
      </c>
    </row>
    <row r="113">
      <c r="A113" s="19" t="s">
        <v>231</v>
      </c>
      <c r="B113" s="19" t="s">
        <v>232</v>
      </c>
      <c r="C113" s="23">
        <v>3.0</v>
      </c>
      <c r="D113" s="20" t="s">
        <v>221</v>
      </c>
      <c r="E113" s="20" t="s">
        <v>198</v>
      </c>
      <c r="F113" s="22" t="str">
        <f>IFERROR(__xludf.DUMMYFUNCTION("AI(""70
42
2
3
14
34
10
10
8
23
8
3
1
1
7
12
29
24
24
4
17
5
4
1
1
8
198
34
9
11
8
11
24
2
31
3
4
12
10
56
21
20
160
100
6
22
21
50
47
1
56
120
2
1
75
270
900g
50g
40
100g
15
1
11
144
10
2
9
44
8
34
32
5
4
15
8
19
40
15
20
35
13
25
25
14
5
18
10
6
4
1
3
1"&amp;"
5 RAM
5 RAM (+1 VRAC)
3 RAM
4 RAM
 1 RAM + 1 VRAC
1 VRAC
1 RAM + 1 VRAC
3 RAM
1 RAM
VRAC
220
3
3
3
3
2
2
3
3
40ml
1
60
40
3
1
2
54
58
5
17
16
200
240
4
9
13
1
180
720
200
16
2
23
140
267
3 RAM
4
4
9
4
2000
21
5
1
2
51
2
10
4 RAM
7
1
3
3
70
91
157
97
92
"&amp;"94
214
34
90
98
174
554
1 596
101
67
22
7
1247
216
20
50
194
146
397
3
1
2
1
1
1
2
1
825
163
12
8
156
101
60
156
40
8
33
19
10
7
8
1
2
5
50
100
50
400
217
50
150
127
4
31
1
1
1
2
3
12
103
3
1
1
3
2
3 tasses 3 sous-coupe 
8
20
2 paires
2
50
2
46
40
4
2
6
4"&amp;"
3
5
9
5
4
120"")"),"3")</f>
        <v>3</v>
      </c>
    </row>
    <row r="114">
      <c r="A114" s="19" t="s">
        <v>233</v>
      </c>
      <c r="B114" s="24" t="s">
        <v>234</v>
      </c>
      <c r="C114" s="23">
        <v>40.0</v>
      </c>
      <c r="D114" s="20" t="s">
        <v>221</v>
      </c>
      <c r="E114" s="20" t="s">
        <v>198</v>
      </c>
      <c r="F114" s="14">
        <v>40.0</v>
      </c>
    </row>
    <row r="115">
      <c r="A115" s="20" t="s">
        <v>235</v>
      </c>
      <c r="B115" s="20" t="s">
        <v>236</v>
      </c>
      <c r="C115" s="20">
        <v>1.0</v>
      </c>
      <c r="D115" s="20" t="s">
        <v>221</v>
      </c>
      <c r="E115" s="20" t="s">
        <v>198</v>
      </c>
      <c r="F115" s="22" t="str">
        <f>IFERROR(__xludf.DUMMYFUNCTION("AI(""70
42
2
3
14
34
10
10
8
23
8
3
1
1
7
12
29
24
24
4
17
5
4
1
1
8
198
34
9
11
8
11
24
2
31
3
4
12
10
56
21
20
160
100
6
22
21
50
47
1
56
120
2
1
75
270
900g
50g
40
100g
15
1
11
144
10
2
9
44
8
34
32
5
4
15
8
19
40
15
20
35
13
25
25
14
5
18
10
6
4
1
3
1"&amp;"
5 RAM
5 RAM (+1 VRAC)
3 RAM
4 RAM
 1 RAM + 1 VRAC
1 VRAC
1 RAM + 1 VRAC
3 RAM
1 RAM
VRAC
220
3
3
3
3
2
2
3
3
40ml
1
60
40
3
1
2
54
58
5
17
16
200
240
4
9
13
1
180
720
200
16
2
23
140
267
3 RAM
4
4
9
4
2000
21
5
1
2
51
2
10
4 RAM
7
1
3
3
70
91
157
97
92
"&amp;"94
214
34
90
98
174
554
1 596
101
67
22
7
1247
216
20
50
194
146
397
3
1
2
1
1
1
2
1
825
163
12
8
156
101
60
156
40
8
33
19
10
7
8
1
2
5
50
100
50
400
217
50
150
127
4
31
1
1
1
2
3
12
103
3
1
1
3
2
3 tasses 3 sous-coupe 
8
20
2 paires
2
50
2
46
40
4
2
6
4"&amp;"
3
5
9
5
4
120"")"),"1")</f>
        <v>1</v>
      </c>
    </row>
    <row r="116">
      <c r="A116" s="19" t="s">
        <v>237</v>
      </c>
      <c r="B116" s="20" t="s">
        <v>238</v>
      </c>
      <c r="C116" s="20">
        <v>60.0</v>
      </c>
      <c r="D116" s="21" t="str">
        <f>IFERROR(__xludf.DUMMYFUNCTION("AI(""Papeterie
Papeterie
Papeterie
Papeterie
Papeterie
Papeterie
Papeterie
Papeterie
Papeterie
Classement
Classement
Papeterie
Consommables
Consommables
Consommables
Consommables
Consommables
Consommables
Consommables
Consommables
Consommables
Consommable"&amp;"s
Classement
Classement
Classement
Classement
Classement
Classement
Classement
Classement
Classement
Enveloppes
Enveloppes
Papeterie"")"),"Classement")</f>
        <v>Classement</v>
      </c>
      <c r="E116" s="20" t="s">
        <v>198</v>
      </c>
      <c r="F116" s="22" t="str">
        <f>IFERROR(__xludf.DUMMYFUNCTION("AI(""70
42
2
3
14
34
10
10
8
23
8
3
1
1
7
12
29
24
24
4
17
5
4
1
1
8
198
34
9
11
8
11
24
2
31
3
4
12
10
56
21
20
160
100
6
22
21
50
47
1
56
120
2
1
75
270
900g
50g
40
100g
15
1
11
144
10
2
9
44
8
34
32
5
4
15
8
19
40
15
20
35
13
25
25
14
5
18
10
6
4
1
3
1"&amp;"
5 RAM
5 RAM (+1 VRAC)
3 RAM
4 RAM
 1 RAM + 1 VRAC
1 VRAC
1 RAM + 1 VRAC
3 RAM
1 RAM
VRAC
220
3
3
3
3
2
2
3
3
40ml
1
60
40
3
1
2
54
58
5
17
16
200
240
4
9
13
1
180
720
200
16
2
23
140
267
3 RAM
4
4
9
4
2000
21
5
1
2
51
2
10
4 RAM
7
1
3
3
70
91
157
97
92
"&amp;"94
214
34
90
98
174
554
1 596
101
67
22
7
1247
216
20
50
194
146
397
3
1
2
1
1
1
2
1
825
163
12
8
156
101
60
156
40
8
33
19
10
7
8
1
2
5
50
100
50
400
217
50
150
127
4
31
1
1
1
2
3
12
103
3
1
1
3
2
3 tasses 3 sous-coupe 
8
20
2 paires
2
50
2
46
40
4
2
6
4"&amp;"
3
5
9
5
4
120"")"),"60")</f>
        <v>60</v>
      </c>
    </row>
    <row r="117">
      <c r="A117" s="20" t="s">
        <v>239</v>
      </c>
      <c r="B117" s="20" t="s">
        <v>240</v>
      </c>
      <c r="C117" s="20">
        <v>40.0</v>
      </c>
      <c r="D117" s="21" t="str">
        <f>IFERROR(__xludf.DUMMYFUNCTION("AI(""Papeterie
Papeterie
Papeterie
Papeterie
Papeterie
Papeterie
Papeterie
Papeterie
Papeterie
Classement
Classement
Papeterie
Consommables
Consommables
Consommables
Consommables
Consommables
Consommables
Consommables
Consommables
Consommables
Consommable"&amp;"s
Classement
Classement
Classement
Classement
Classement
Classement
Classement
Classement
Classement
Enveloppes
Enveloppes
Papeterie"")"),"Classement")</f>
        <v>Classement</v>
      </c>
      <c r="E117" s="20" t="s">
        <v>198</v>
      </c>
      <c r="F117" s="22" t="str">
        <f>IFERROR(__xludf.DUMMYFUNCTION("AI(""70
42
2
3
14
34
10
10
8
23
8
3
1
1
7
12
29
24
24
4
17
5
4
1
1
8
198
34
9
11
8
11
24
2
31
3
4
12
10
56
21
20
160
100
6
22
21
50
47
1
56
120
2
1
75
270
900g
50g
40
100g
15
1
11
144
10
2
9
44
8
34
32
5
4
15
8
19
40
15
20
35
13
25
25
14
5
18
10
6
4
1
3
1"&amp;"
5 RAM
5 RAM (+1 VRAC)
3 RAM
4 RAM
 1 RAM + 1 VRAC
1 VRAC
1 RAM + 1 VRAC
3 RAM
1 RAM
VRAC
220
3
3
3
3
2
2
3
3
40ml
1
60
40
3
1
2
54
58
5
17
16
200
240
4
9
13
1
180
720
200
16
2
23
140
267
3 RAM
4
4
9
4
2000
21
5
1
2
51
2
10
4 RAM
7
1
3
3
70
91
157
97
92
"&amp;"94
214
34
90
98
174
554
1 596
101
67
22
7
1247
216
20
50
194
146
397
3
1
2
1
1
1
2
1
825
163
12
8
156
101
60
156
40
8
33
19
10
7
8
1
2
5
50
100
50
400
217
50
150
127
4
31
1
1
1
2
3
12
103
3
1
1
3
2
3 tasses 3 sous-coupe 
8
20
2 paires
2
50
2
46
40
4
2
6
4"&amp;"
3
5
9
5
4
120"")"),"40")</f>
        <v>40</v>
      </c>
    </row>
    <row r="118">
      <c r="A118" s="19" t="s">
        <v>241</v>
      </c>
      <c r="B118" s="20" t="s">
        <v>242</v>
      </c>
      <c r="C118" s="20">
        <v>3.0</v>
      </c>
      <c r="D118" s="21" t="str">
        <f>IFERROR(__xludf.DUMMYFUNCTION("AI(""Papeterie
Papeterie
Papeterie
Papeterie
Papeterie
Papeterie
Papeterie
Papeterie
Papeterie
Classement
Classement
Papeterie
Consommables
Consommables
Consommables
Consommables
Consommables
Consommables
Consommables
Consommables
Consommables
Consommable"&amp;"s
Classement
Classement
Classement
Classement
Classement
Classement
Classement
Classement
Classement
Enveloppes
Enveloppes
Papeterie"")"),"Classement")</f>
        <v>Classement</v>
      </c>
      <c r="E118" s="20" t="s">
        <v>198</v>
      </c>
      <c r="F118" s="22" t="str">
        <f>IFERROR(__xludf.DUMMYFUNCTION("AI(""70
42
2
3
14
34
10
10
8
23
8
3
1
1
7
12
29
24
24
4
17
5
4
1
1
8
198
34
9
11
8
11
24
2
31
3
4
12
10
56
21
20
160
100
6
22
21
50
47
1
56
120
2
1
75
270
900g
50g
40
100g
15
1
11
144
10
2
9
44
8
34
32
5
4
15
8
19
40
15
20
35
13
25
25
14
5
18
10
6
4
1
3
1"&amp;"
5 RAM
5 RAM (+1 VRAC)
3 RAM
4 RAM
 1 RAM + 1 VRAC
1 VRAC
1 RAM + 1 VRAC
3 RAM
1 RAM
VRAC
220
3
3
3
3
2
2
3
3
40ml
1
60
40
3
1
2
54
58
5
17
16
200
240
4
9
13
1
180
720
200
16
2
23
140
267
3 RAM
4
4
9
4
2000
21
5
1
2
51
2
10
4 RAM
7
1
3
3
70
91
157
97
92
"&amp;"94
214
34
90
98
174
554
1 596
101
67
22
7
1247
216
20
50
194
146
397
3
1
2
1
1
1
2
1
825
163
12
8
156
101
60
156
40
8
33
19
10
7
8
1
2
5
50
100
50
400
217
50
150
127
4
31
1
1
1
2
3
12
103
3
1
1
3
2
3 tasses 3 sous-coupe 
8
20
2 paires
2
50
2
46
40
4
2
6
4"&amp;"
3
5
9
5
4
120"")"),"3")</f>
        <v>3</v>
      </c>
    </row>
    <row r="119">
      <c r="A119" s="20" t="s">
        <v>243</v>
      </c>
      <c r="B119" s="20" t="s">
        <v>244</v>
      </c>
      <c r="C119" s="20">
        <v>1.0</v>
      </c>
      <c r="D119" s="21" t="str">
        <f>IFERROR(__xludf.DUMMYFUNCTION("AI(""Papeterie
Papeterie
Papeterie
Papeterie
Papeterie
Papeterie
Papeterie
Papeterie
Papeterie
Classement
Classement
Papeterie
Consommables
Consommables
Consommables
Consommables
Consommables
Consommables
Consommables
Consommables
Consommables
Consommable"&amp;"s
Classement
Classement
Classement
Classement
Classement
Classement
Classement
Classement
Classement
Enveloppes
Enveloppes
Papeterie"")"),"Classement")</f>
        <v>Classement</v>
      </c>
      <c r="E119" s="20" t="s">
        <v>198</v>
      </c>
      <c r="F119" s="22" t="str">
        <f>IFERROR(__xludf.DUMMYFUNCTION("AI(""70
42
2
3
14
34
10
10
8
23
8
3
1
1
7
12
29
24
24
4
17
5
4
1
1
8
198
34
9
11
8
11
24
2
31
3
4
12
10
56
21
20
160
100
6
22
21
50
47
1
56
120
2
1
75
270
900g
50g
40
100g
15
1
11
144
10
2
9
44
8
34
32
5
4
15
8
19
40
15
20
35
13
25
25
14
5
18
10
6
4
1
3
1"&amp;"
5 RAM
5 RAM (+1 VRAC)
3 RAM
4 RAM
 1 RAM + 1 VRAC
1 VRAC
1 RAM + 1 VRAC
3 RAM
1 RAM
VRAC
220
3
3
3
3
2
2
3
3
40ml
1
60
40
3
1
2
54
58
5
17
16
200
240
4
9
13
1
180
720
200
16
2
23
140
267
3 RAM
4
4
9
4
2000
21
5
1
2
51
2
10
4 RAM
7
1
3
3
70
91
157
97
92
"&amp;"94
214
34
90
98
174
554
1 596
101
67
22
7
1247
216
20
50
194
146
397
3
1
2
1
1
1
2
1
825
163
12
8
156
101
60
156
40
8
33
19
10
7
8
1
2
5
50
100
50
400
217
50
150
127
4
31
1
1
1
2
3
12
103
3
1
1
3
2
3 tasses 3 sous-coupe 
8
20
2 paires
2
50
2
46
40
4
2
6
4"&amp;"
3
5
9
5
4
120"")"),"1")</f>
        <v>1</v>
      </c>
    </row>
    <row r="120">
      <c r="A120" s="19" t="s">
        <v>245</v>
      </c>
      <c r="B120" s="20" t="s">
        <v>246</v>
      </c>
      <c r="C120" s="20">
        <v>2.0</v>
      </c>
      <c r="D120" s="21" t="str">
        <f>IFERROR(__xludf.DUMMYFUNCTION("AI(""Papeterie
Papeterie
Papeterie
Papeterie
Papeterie
Papeterie
Papeterie
Papeterie
Papeterie
Classement
Classement
Papeterie
Consommables
Consommables
Consommables
Consommables
Consommables
Consommables
Consommables
Consommables
Consommables
Consommable"&amp;"s
Classement
Classement
Classement
Classement
Classement
Classement
Classement
Classement
Classement
Enveloppes
Enveloppes
Papeterie"")"),"Classement")</f>
        <v>Classement</v>
      </c>
      <c r="E120" s="20" t="s">
        <v>198</v>
      </c>
      <c r="F120" s="22" t="str">
        <f>IFERROR(__xludf.DUMMYFUNCTION("AI(""70
42
2
3
14
34
10
10
8
23
8
3
1
1
7
12
29
24
24
4
17
5
4
1
1
8
198
34
9
11
8
11
24
2
31
3
4
12
10
56
21
20
160
100
6
22
21
50
47
1
56
120
2
1
75
270
900g
50g
40
100g
15
1
11
144
10
2
9
44
8
34
32
5
4
15
8
19
40
15
20
35
13
25
25
14
5
18
10
6
4
1
3
1"&amp;"
5 RAM
5 RAM (+1 VRAC)
3 RAM
4 RAM
 1 RAM + 1 VRAC
1 VRAC
1 RAM + 1 VRAC
3 RAM
1 RAM
VRAC
220
3
3
3
3
2
2
3
3
40ml
1
60
40
3
1
2
54
58
5
17
16
200
240
4
9
13
1
180
720
200
16
2
23
140
267
3 RAM
4
4
9
4
2000
21
5
1
2
51
2
10
4 RAM
7
1
3
3
70
91
157
97
92
"&amp;"94
214
34
90
98
174
554
1 596
101
67
22
7
1247
216
20
50
194
146
397
3
1
2
1
1
1
2
1
825
163
12
8
156
101
60
156
40
8
33
19
10
7
8
1
2
5
50
100
50
400
217
50
150
127
4
31
1
1
1
2
3
12
103
3
1
1
3
2
3 tasses 3 sous-coupe 
8
20
2 paires
2
50
2
46
40
4
2
6
4"&amp;"
3
5
9
5
4
120"")"),"2")</f>
        <v>2</v>
      </c>
    </row>
    <row r="121">
      <c r="A121" s="20" t="s">
        <v>247</v>
      </c>
      <c r="B121" s="20" t="s">
        <v>248</v>
      </c>
      <c r="C121" s="20">
        <v>54.0</v>
      </c>
      <c r="D121" s="21" t="str">
        <f>IFERROR(__xludf.DUMMYFUNCTION("AI(""Papeterie
Papeterie
Papeterie
Papeterie
Papeterie
Papeterie
Papeterie
Papeterie
Papeterie
Classement
Classement
Papeterie
Consommables
Consommables
Consommables
Consommables
Consommables
Consommables
Consommables
Consommables
Consommables
Consommable"&amp;"s
Classement
Classement
Classement
Classement
Classement
Classement
Classement
Classement
Classement
Enveloppes
Enveloppes
Papeterie"")"),"Classement")</f>
        <v>Classement</v>
      </c>
      <c r="E121" s="20" t="s">
        <v>198</v>
      </c>
      <c r="F121" s="22" t="str">
        <f>IFERROR(__xludf.DUMMYFUNCTION("AI(""70
42
2
3
14
34
10
10
8
23
8
3
1
1
7
12
29
24
24
4
17
5
4
1
1
8
198
34
9
11
8
11
24
2
31
3
4
12
10
56
21
20
160
100
6
22
21
50
47
1
56
120
2
1
75
270
900g
50g
40
100g
15
1
11
144
10
2
9
44
8
34
32
5
4
15
8
19
40
15
20
35
13
25
25
14
5
18
10
6
4
1
3
1"&amp;"
5 RAM
5 RAM (+1 VRAC)
3 RAM
4 RAM
 1 RAM + 1 VRAC
1 VRAC
1 RAM + 1 VRAC
3 RAM
1 RAM
VRAC
220
3
3
3
3
2
2
3
3
40ml
1
60
40
3
1
2
54
58
5
17
16
200
240
4
9
13
1
180
720
200
16
2
23
140
267
3 RAM
4
4
9
4
2000
21
5
1
2
51
2
10
4 RAM
7
1
3
3
70
91
157
97
92
"&amp;"94
214
34
90
98
174
554
1 596
101
67
22
7
1247
216
20
50
194
146
397
3
1
2
1
1
1
2
1
825
163
12
8
156
101
60
156
40
8
33
19
10
7
8
1
2
5
50
100
50
400
217
50
150
127
4
31
1
1
1
2
3
12
103
3
1
1
3
2
3 tasses 3 sous-coupe 
8
20
2 paires
2
50
2
46
40
4
2
6
4"&amp;"
3
5
9
5
4
120"")"),"54")</f>
        <v>54</v>
      </c>
    </row>
    <row r="122">
      <c r="A122" s="20" t="s">
        <v>249</v>
      </c>
      <c r="B122" s="20" t="s">
        <v>250</v>
      </c>
      <c r="C122" s="20">
        <v>58.0</v>
      </c>
      <c r="D122" s="21" t="str">
        <f>IFERROR(__xludf.DUMMYFUNCTION("AI(""Papeterie
Papeterie
Papeterie
Papeterie
Papeterie
Papeterie
Papeterie
Papeterie
Papeterie
Classement
Classement
Papeterie
Consommables
Consommables
Consommables
Consommables
Consommables
Consommables
Consommables
Consommables
Consommables
Consommable"&amp;"s
Classement
Classement
Classement
Classement
Classement
Classement
Classement
Classement
Classement
Enveloppes
Enveloppes
Papeterie"")"),"Classement")</f>
        <v>Classement</v>
      </c>
      <c r="E122" s="20" t="s">
        <v>198</v>
      </c>
      <c r="F122" s="22" t="str">
        <f>IFERROR(__xludf.DUMMYFUNCTION("AI(""70
42
2
3
14
34
10
10
8
23
8
3
1
1
7
12
29
24
24
4
17
5
4
1
1
8
198
34
9
11
8
11
24
2
31
3
4
12
10
56
21
20
160
100
6
22
21
50
47
1
56
120
2
1
75
270
900g
50g
40
100g
15
1
11
144
10
2
9
44
8
34
32
5
4
15
8
19
40
15
20
35
13
25
25
14
5
18
10
6
4
1
3
1"&amp;"
5 RAM
5 RAM (+1 VRAC)
3 RAM
4 RAM
 1 RAM + 1 VRAC
1 VRAC
1 RAM + 1 VRAC
3 RAM
1 RAM
VRAC
220
3
3
3
3
2
2
3
3
40ml
1
60
40
3
1
2
54
58
5
17
16
200
240
4
9
13
1
180
720
200
16
2
23
140
267
3 RAM
4
4
9
4
2000
21
5
1
2
51
2
10
4 RAM
7
1
3
3
70
91
157
97
92
"&amp;"94
214
34
90
98
174
554
1 596
101
67
22
7
1247
216
20
50
194
146
397
3
1
2
1
1
1
2
1
825
163
12
8
156
101
60
156
40
8
33
19
10
7
8
1
2
5
50
100
50
400
217
50
150
127
4
31
1
1
1
2
3
12
103
3
1
1
3
2
3 tasses 3 sous-coupe 
8
20
2 paires
2
50
2
46
40
4
2
6
4"&amp;"
3
5
9
5
4
120"")"),"58")</f>
        <v>58</v>
      </c>
    </row>
    <row r="123">
      <c r="A123" s="20" t="s">
        <v>251</v>
      </c>
      <c r="B123" s="20" t="s">
        <v>252</v>
      </c>
      <c r="C123" s="20">
        <v>5.0</v>
      </c>
      <c r="D123" s="21" t="str">
        <f>IFERROR(__xludf.DUMMYFUNCTION("AI(""Papeterie
Papeterie
Papeterie
Papeterie
Papeterie
Papeterie
Papeterie
Papeterie
Papeterie
Classement
Classement
Papeterie
Consommables
Consommables
Consommables
Consommables
Consommables
Consommables
Consommables
Consommables
Consommables
Consommable"&amp;"s
Classement
Classement
Classement
Classement
Classement
Classement
Classement
Classement
Classement
Enveloppes
Enveloppes
Papeterie"")"),"Classement")</f>
        <v>Classement</v>
      </c>
      <c r="E123" s="20" t="s">
        <v>198</v>
      </c>
      <c r="F123" s="22" t="str">
        <f>IFERROR(__xludf.DUMMYFUNCTION("AI(""70
42
2
3
14
34
10
10
8
23
8
3
1
1
7
12
29
24
24
4
17
5
4
1
1
8
198
34
9
11
8
11
24
2
31
3
4
12
10
56
21
20
160
100
6
22
21
50
47
1
56
120
2
1
75
270
900g
50g
40
100g
15
1
11
144
10
2
9
44
8
34
32
5
4
15
8
19
40
15
20
35
13
25
25
14
5
18
10
6
4
1
3
1"&amp;"
5 RAM
5 RAM (+1 VRAC)
3 RAM
4 RAM
 1 RAM + 1 VRAC
1 VRAC
1 RAM + 1 VRAC
3 RAM
1 RAM
VRAC
220
3
3
3
3
2
2
3
3
40ml
1
60
40
3
1
2
54
58
5
17
16
200
240
4
9
13
1
180
720
200
16
2
23
140
267
3 RAM
4
4
9
4
2000
21
5
1
2
51
2
10
4 RAM
7
1
3
3
70
91
157
97
92
"&amp;"94
214
34
90
98
174
554
1 596
101
67
22
7
1247
216
20
50
194
146
397
3
1
2
1
1
1
2
1
825
163
12
8
156
101
60
156
40
8
33
19
10
7
8
1
2
5
50
100
50
400
217
50
150
127
4
31
1
1
1
2
3
12
103
3
1
1
3
2
3 tasses 3 sous-coupe 
8
20
2 paires
2
50
2
46
40
4
2
6
4"&amp;"
3
5
9
5
4
120"")"),"5")</f>
        <v>5</v>
      </c>
    </row>
    <row r="124">
      <c r="A124" s="20" t="s">
        <v>253</v>
      </c>
      <c r="B124" s="20" t="s">
        <v>254</v>
      </c>
      <c r="C124" s="20">
        <v>17.0</v>
      </c>
      <c r="D124" s="21" t="str">
        <f>IFERROR(__xludf.DUMMYFUNCTION("AI(""Papeterie
Papeterie
Papeterie
Papeterie
Papeterie
Papeterie
Papeterie
Papeterie
Papeterie
Classement
Classement
Papeterie
Consommables
Consommables
Consommables
Consommables
Consommables
Consommables
Consommables
Consommables
Consommables
Consommable"&amp;"s
Classement
Classement
Classement
Classement
Classement
Classement
Classement
Classement
Classement
Enveloppes
Enveloppes
Papeterie"")"),"Classement")</f>
        <v>Classement</v>
      </c>
      <c r="E124" s="20" t="s">
        <v>198</v>
      </c>
      <c r="F124" s="22" t="str">
        <f>IFERROR(__xludf.DUMMYFUNCTION("AI(""70
42
2
3
14
34
10
10
8
23
8
3
1
1
7
12
29
24
24
4
17
5
4
1
1
8
198
34
9
11
8
11
24
2
31
3
4
12
10
56
21
20
160
100
6
22
21
50
47
1
56
120
2
1
75
270
900g
50g
40
100g
15
1
11
144
10
2
9
44
8
34
32
5
4
15
8
19
40
15
20
35
13
25
25
14
5
18
10
6
4
1
3
1"&amp;"
5 RAM
5 RAM (+1 VRAC)
3 RAM
4 RAM
 1 RAM + 1 VRAC
1 VRAC
1 RAM + 1 VRAC
3 RAM
1 RAM
VRAC
220
3
3
3
3
2
2
3
3
40ml
1
60
40
3
1
2
54
58
5
17
16
200
240
4
9
13
1
180
720
200
16
2
23
140
267
3 RAM
4
4
9
4
2000
21
5
1
2
51
2
10
4 RAM
7
1
3
3
70
91
157
97
92
"&amp;"94
214
34
90
98
174
554
1 596
101
67
22
7
1247
216
20
50
194
146
397
3
1
2
1
1
1
2
1
825
163
12
8
156
101
60
156
40
8
33
19
10
7
8
1
2
5
50
100
50
400
217
50
150
127
4
31
1
1
1
2
3
12
103
3
1
1
3
2
3 tasses 3 sous-coupe 
8
20
2 paires
2
50
2
46
40
4
2
6
4"&amp;"
3
5
9
5
4
120"")"),"17")</f>
        <v>17</v>
      </c>
    </row>
    <row r="125">
      <c r="A125" s="20" t="s">
        <v>255</v>
      </c>
      <c r="B125" s="25" t="s">
        <v>256</v>
      </c>
      <c r="C125" s="20">
        <v>16.0</v>
      </c>
      <c r="D125" s="20" t="s">
        <v>257</v>
      </c>
      <c r="E125" s="20" t="s">
        <v>198</v>
      </c>
      <c r="F125" s="22" t="str">
        <f>IFERROR(__xludf.DUMMYFUNCTION("AI(""70
42
2
3
14
34
10
10
8
23
8
3
1
1
7
12
29
24
24
4
17
5
4
1
1
8
198
34
9
11
8
11
24
2
31
3
4
12
10
56
21
20
160
100
6
22
21
50
47
1
56
120
2
1
75
270
900g
50g
40
100g
15
1
11
144
10
2
9
44
8
34
32
5
4
15
8
19
40
15
20
35
13
25
25
14
5
18
10
6
4
1
3
1"&amp;"
5 RAM
5 RAM (+1 VRAC)
3 RAM
4 RAM
 1 RAM + 1 VRAC
1 VRAC
1 RAM + 1 VRAC
3 RAM
1 RAM
VRAC
220
3
3
3
3
2
2
3
3
40ml
1
60
40
3
1
2
54
58
5
17
16
200
240
4
9
13
1
180
720
200
16
2
23
140
267
3 RAM
4
4
9
4
2000
21
5
1
2
51
2
10
4 RAM
7
1
3
3
70
91
157
97
92
"&amp;"94
214
34
90
98
174
554
1 596
101
67
22
7
1247
216
20
50
194
146
397
3
1
2
1
1
1
2
1
825
163
12
8
156
101
60
156
40
8
33
19
10
7
8
1
2
5
50
100
50
400
217
50
150
127
4
31
1
1
1
2
3
12
103
3
1
1
3
2
3 tasses 3 sous-coupe 
8
20
2 paires
2
50
2
46
40
4
2
6
4"&amp;"
3
5
9
5
4
120"")"),"16")</f>
        <v>16</v>
      </c>
    </row>
    <row r="126">
      <c r="A126" s="19" t="s">
        <v>258</v>
      </c>
      <c r="B126" s="25" t="s">
        <v>259</v>
      </c>
      <c r="C126" s="20">
        <v>200.0</v>
      </c>
      <c r="D126" s="20" t="s">
        <v>257</v>
      </c>
      <c r="E126" s="20" t="s">
        <v>198</v>
      </c>
      <c r="F126" s="22" t="str">
        <f>IFERROR(__xludf.DUMMYFUNCTION("AI(""70
42
2
3
14
34
10
10
8
23
8
3
1
1
7
12
29
24
24
4
17
5
4
1
1
8
198
34
9
11
8
11
24
2
31
3
4
12
10
56
21
20
160
100
6
22
21
50
47
1
56
120
2
1
75
270
900g
50g
40
100g
15
1
11
144
10
2
9
44
8
34
32
5
4
15
8
19
40
15
20
35
13
25
25
14
5
18
10
6
4
1
3
1"&amp;"
5 RAM
5 RAM (+1 VRAC)
3 RAM
4 RAM
 1 RAM + 1 VRAC
1 VRAC
1 RAM + 1 VRAC
3 RAM
1 RAM
VRAC
220
3
3
3
3
2
2
3
3
40ml
1
60
40
3
1
2
54
58
5
17
16
200
240
4
9
13
1
180
720
200
16
2
23
140
267
3 RAM
4
4
9
4
2000
21
5
1
2
51
2
10
4 RAM
7
1
3
3
70
91
157
97
92
"&amp;"94
214
34
90
98
174
554
1 596
101
67
22
7
1247
216
20
50
194
146
397
3
1
2
1
1
1
2
1
825
163
12
8
156
101
60
156
40
8
33
19
10
7
8
1
2
5
50
100
50
400
217
50
150
127
4
31
1
1
1
2
3
12
103
3
1
1
3
2
3 tasses 3 sous-coupe 
8
20
2 paires
2
50
2
46
40
4
2
6
4"&amp;"
3
5
9
5
4
120"")"),"200")</f>
        <v>200</v>
      </c>
    </row>
    <row r="127">
      <c r="A127" s="20" t="s">
        <v>260</v>
      </c>
      <c r="B127" s="26" t="s">
        <v>261</v>
      </c>
      <c r="C127" s="20">
        <v>240.0</v>
      </c>
      <c r="D127" s="27" t="str">
        <f>IFERROR(__xludf.DUMMYFUNCTION("AI(""Papeterie
Papeterie
Papeterie
Papeterie
Papeterie
Papeterie
Papeterie
Papeterie
Papeterie
Classement
Classement
Papeterie
Consommables
Consommables
Consommables
Consommables
Consommables
Consommables
Consommables
Consommables
Consommables
Consommable"&amp;"s
Classement
Classement
Classement
Classement
Classement
Classement
Classement
Classement
Classement
Enveloppes
Enveloppes
Papeterie"")"),"Papeterie")</f>
        <v>Papeterie</v>
      </c>
      <c r="E127" s="20" t="s">
        <v>198</v>
      </c>
      <c r="F127" s="28" t="str">
        <f>IFERROR(__xludf.DUMMYFUNCTION("AI(""70
42
2
3
14
34
10
10
8
23
8
3
1
1
7
12
29
24
24
4
17
5
4
1
1
8
198
34
9
11
8
11
24
2
31
3
4
12
10
56
21
20
160
100
6
22
21
50
47
1
56
120
2
1
75
270
900g
50g
40
100g
15
1
11
144
10
2
9
44
8
34
32
5
4
15
8
19
40
15
20
35
13
25
25
14
5
18
10
6
4
1
3
1"&amp;"
5 RAM
5 RAM (+1 VRAC)
3 RAM
4 RAM
 1 RAM + 1 VRAC
1 VRAC
1 RAM + 1 VRAC
3 RAM
1 RAM
VRAC
220
3
3
3
3
2
2
3
3
40ml
1
60
40
3
1
2
54
58
5
17
16
200
240
4
9
13
1
180
720
200
16
2
23
140
267
3 RAM
4
4
9
4
2000
21
5
1
2
51
2
10
4 RAM
7
1
3
3
70
91
157
97
92
"&amp;"94
214
34
90
98
174
554
1 596
101
67
22
7
1247
216
20
50
194
146
397
3
1
2
1
1
1
2
1
825
163
12
8
156
101
60
156
40
8
33
19
10
7
8
1
2
5
50
100
50
400
217
50
150
127
4
31
1
1
1
2
3
12
103
3
1
1
3
2
3 tasses 3 sous-coupe 
8
20
2 paires
2
50
2
46
40
4
2
6
4"&amp;"
3
5
9
5
4
120"")"),"240")</f>
        <v>240</v>
      </c>
      <c r="G127" s="28"/>
      <c r="H127" s="28"/>
      <c r="I127" s="28"/>
      <c r="J127" s="28"/>
      <c r="K127" s="28"/>
      <c r="L127" s="28"/>
      <c r="M127" s="28"/>
      <c r="N127" s="28"/>
      <c r="O127" s="28"/>
      <c r="P127" s="28"/>
      <c r="Q127" s="28"/>
      <c r="R127" s="28"/>
      <c r="S127" s="28"/>
      <c r="T127" s="28"/>
      <c r="U127" s="28"/>
      <c r="V127" s="28"/>
      <c r="W127" s="28"/>
    </row>
    <row r="128">
      <c r="A128" s="20" t="s">
        <v>262</v>
      </c>
      <c r="B128" s="20" t="s">
        <v>263</v>
      </c>
      <c r="C128" s="20">
        <v>4.0</v>
      </c>
      <c r="D128" s="20" t="s">
        <v>257</v>
      </c>
      <c r="E128" s="20" t="s">
        <v>198</v>
      </c>
      <c r="F128" s="22" t="str">
        <f>IFERROR(__xludf.DUMMYFUNCTION("AI(""70
42
2
3
14
34
10
10
8
23
8
3
1
1
7
12
29
24
24
4
17
5
4
1
1
8
198
34
9
11
8
11
24
2
31
3
4
12
10
56
21
20
160
100
6
22
21
50
47
1
56
120
2
1
75
270
900g
50g
40
100g
15
1
11
144
10
2
9
44
8
34
32
5
4
15
8
19
40
15
20
35
13
25
25
14
5
18
10
6
4
1
3
1"&amp;"
5 RAM
5 RAM (+1 VRAC)
3 RAM
4 RAM
 1 RAM + 1 VRAC
1 VRAC
1 RAM + 1 VRAC
3 RAM
1 RAM
VRAC
220
3
3
3
3
2
2
3
3
40ml
1
60
40
3
1
2
54
58
5
17
16
200
240
4
9
13
1
180
720
200
16
2
23
140
267
3 RAM
4
4
9
4
2000
21
5
1
2
51
2
10
4 RAM
7
1
3
3
70
91
157
97
92
"&amp;"94
214
34
90
98
174
554
1 596
101
67
22
7
1247
216
20
50
194
146
397
3
1
2
1
1
1
2
1
825
163
12
8
156
101
60
156
40
8
33
19
10
7
8
1
2
5
50
100
50
400
217
50
150
127
4
31
1
1
1
2
3
12
103
3
1
1
3
2
3 tasses 3 sous-coupe 
8
20
2 paires
2
50
2
46
40
4
2
6
4"&amp;"
3
5
9
5
4
120"")"),"4")</f>
        <v>4</v>
      </c>
    </row>
    <row r="129">
      <c r="A129" s="14" t="s">
        <v>264</v>
      </c>
      <c r="B129" s="14" t="s">
        <v>265</v>
      </c>
      <c r="C129" s="14">
        <v>9.0</v>
      </c>
      <c r="D129" s="22" t="str">
        <f>IFERROR(__xludf.DUMMYFUNCTION("AI(""Classement
Classement
Classement
Classement
Classement
Classement
Classement
Classement
Classement
Classement
Enveloppes
Papeterie
Papeterie
Classement
Classement
Classement
Classement
Classement
Classement
Classement
Papeterie
Papeterie
Bureau
Class"&amp;"ement
Classement
Papeterie
Papeterie
Papeterie
Papeterie
Papeterie
Classement
Classement
Classement
Classement
Classement
Classement
Enveloppes
Enveloppes"")"),"Classement")</f>
        <v>Classement</v>
      </c>
      <c r="E129" s="14" t="s">
        <v>266</v>
      </c>
      <c r="F129" s="22" t="str">
        <f>IFERROR(__xludf.DUMMYFUNCTION("AI(""70
42
2
3
14
34
10
10
8
23
8
3
1
1
7
12
29
24
24
4
17
5
4
1
1
8
198
34
9
11
8
11
24
2
31
3
4
12
10
56
21
20
160
100
6
22
21
50
47
1
56
120
2
1
75
270
900g
50g
40
100g
15
1
11
144
10
2
9
44
8
34
32
5
4
15
8
19
40
15
20
35
13
25
25
14
5
18
10
6
4
1
3
1"&amp;"
5 RAM
5 RAM (+1 VRAC)
3 RAM
4 RAM
 1 RAM + 1 VRAC
1 VRAC
1 RAM + 1 VRAC
3 RAM
1 RAM
VRAC
220
3
3
3
3
2
2
3
3
40ml
1
60
40
3
1
2
54
58
5
17
16
200
240
4
9
13
1
180
720
200
16
2
23
140
267
3 RAM
4
4
9
4
2000
21
5
1
2
51
2
10
4 RAM
7
1
3
3
70
91
157
97
92
"&amp;"94
214
34
90
98
174
554
1 596
101
67
22
7
1247
216
20
50
194
146
397
3
1
2
1
1
1
2
1
825
163
12
8
156
101
60
156
40
8
33
19
10
7
8
1
2
5
50
100
50
400
217
50
150
127
4
31
1
1
1
2
3
12
103
3
1
1
3
2
3 tasses 3 sous-coupe 
8
20
2 paires
2
50
2
46
40
4
2
6
4"&amp;"
3
5
9
5
4
120"")"),"9")</f>
        <v>9</v>
      </c>
    </row>
    <row r="130">
      <c r="A130" s="13" t="s">
        <v>267</v>
      </c>
      <c r="B130" s="14" t="s">
        <v>268</v>
      </c>
      <c r="C130" s="14">
        <v>13.0</v>
      </c>
      <c r="D130" s="22" t="str">
        <f>IFERROR(__xludf.DUMMYFUNCTION("AI(""Classement
Classement
Classement
Classement
Classement
Classement
Classement
Classement
Classement
Classement
Enveloppes
Papeterie
Papeterie
Classement
Classement
Classement
Classement
Classement
Classement
Classement
Papeterie
Papeterie
Bureau
Class"&amp;"ement
Classement
Papeterie
Papeterie
Papeterie
Papeterie
Papeterie
Classement
Classement
Classement
Classement
Classement
Classement
Enveloppes
Enveloppes"")"),"Classement")</f>
        <v>Classement</v>
      </c>
      <c r="E130" s="14" t="s">
        <v>266</v>
      </c>
      <c r="F130" s="22" t="str">
        <f>IFERROR(__xludf.DUMMYFUNCTION("AI(""70
42
2
3
14
34
10
10
8
23
8
3
1
1
7
12
29
24
24
4
17
5
4
1
1
8
198
34
9
11
8
11
24
2
31
3
4
12
10
56
21
20
160
100
6
22
21
50
47
1
56
120
2
1
75
270
900g
50g
40
100g
15
1
11
144
10
2
9
44
8
34
32
5
4
15
8
19
40
15
20
35
13
25
25
14
5
18
10
6
4
1
3
1"&amp;"
5 RAM
5 RAM (+1 VRAC)
3 RAM
4 RAM
 1 RAM + 1 VRAC
1 VRAC
1 RAM + 1 VRAC
3 RAM
1 RAM
VRAC
220
3
3
3
3
2
2
3
3
40ml
1
60
40
3
1
2
54
58
5
17
16
200
240
4
9
13
1
180
720
200
16
2
23
140
267
3 RAM
4
4
9
4
2000
21
5
1
2
51
2
10
4 RAM
7
1
3
3
70
91
157
97
92
"&amp;"94
214
34
90
98
174
554
1 596
101
67
22
7
1247
216
20
50
194
146
397
3
1
2
1
1
1
2
1
825
163
12
8
156
101
60
156
40
8
33
19
10
7
8
1
2
5
50
100
50
400
217
50
150
127
4
31
1
1
1
2
3
12
103
3
1
1
3
2
3 tasses 3 sous-coupe 
8
20
2 paires
2
50
2
46
40
4
2
6
4"&amp;"
3
5
9
5
4
120"")"),"13")</f>
        <v>13</v>
      </c>
    </row>
    <row r="131">
      <c r="A131" s="13" t="s">
        <v>269</v>
      </c>
      <c r="B131" s="14" t="s">
        <v>270</v>
      </c>
      <c r="C131" s="14">
        <v>1.0</v>
      </c>
      <c r="D131" s="22" t="str">
        <f>IFERROR(__xludf.DUMMYFUNCTION("AI(""Classement
Classement
Classement
Classement
Classement
Classement
Classement
Classement
Classement
Classement
Enveloppes
Papeterie
Papeterie
Classement
Classement
Classement
Classement
Classement
Classement
Classement
Papeterie
Papeterie
Bureau
Class"&amp;"ement
Classement
Papeterie
Papeterie
Papeterie
Papeterie
Papeterie
Classement
Classement
Classement
Classement
Classement
Classement
Enveloppes
Enveloppes"")"),"Classement")</f>
        <v>Classement</v>
      </c>
      <c r="E131" s="14" t="s">
        <v>266</v>
      </c>
      <c r="F131" s="22" t="str">
        <f>IFERROR(__xludf.DUMMYFUNCTION("AI(""70
42
2
3
14
34
10
10
8
23
8
3
1
1
7
12
29
24
24
4
17
5
4
1
1
8
198
34
9
11
8
11
24
2
31
3
4
12
10
56
21
20
160
100
6
22
21
50
47
1
56
120
2
1
75
270
900g
50g
40
100g
15
1
11
144
10
2
9
44
8
34
32
5
4
15
8
19
40
15
20
35
13
25
25
14
5
18
10
6
4
1
3
1"&amp;"
5 RAM
5 RAM (+1 VRAC)
3 RAM
4 RAM
 1 RAM + 1 VRAC
1 VRAC
1 RAM + 1 VRAC
3 RAM
1 RAM
VRAC
220
3
3
3
3
2
2
3
3
40ml
1
60
40
3
1
2
54
58
5
17
16
200
240
4
9
13
1
180
720
200
16
2
23
140
267
3 RAM
4
4
9
4
2000
21
5
1
2
51
2
10
4 RAM
7
1
3
3
70
91
157
97
92
"&amp;"94
214
34
90
98
174
554
1 596
101
67
22
7
1247
216
20
50
194
146
397
3
1
2
1
1
1
2
1
825
163
12
8
156
101
60
156
40
8
33
19
10
7
8
1
2
5
50
100
50
400
217
50
150
127
4
31
1
1
1
2
3
12
103
3
1
1
3
2
3 tasses 3 sous-coupe 
8
20
2 paires
2
50
2
46
40
4
2
6
4"&amp;"
3
5
9
5
4
120"")"),"1")</f>
        <v>1</v>
      </c>
    </row>
    <row r="132">
      <c r="A132" s="13" t="s">
        <v>271</v>
      </c>
      <c r="B132" s="14" t="s">
        <v>272</v>
      </c>
      <c r="C132" s="14">
        <v>180.0</v>
      </c>
      <c r="D132" s="22" t="str">
        <f>IFERROR(__xludf.DUMMYFUNCTION("AI(""Classement
Classement
Classement
Classement
Classement
Classement
Classement
Classement
Classement
Classement
Enveloppes
Papeterie
Papeterie
Classement
Classement
Classement
Classement
Classement
Classement
Classement
Papeterie
Papeterie
Bureau
Class"&amp;"ement
Classement
Papeterie
Papeterie
Papeterie
Papeterie
Papeterie
Classement
Classement
Classement
Classement
Classement
Classement
Enveloppes
Enveloppes"")"),"Classement")</f>
        <v>Classement</v>
      </c>
      <c r="E132" s="14" t="s">
        <v>266</v>
      </c>
      <c r="F132" s="22" t="str">
        <f>IFERROR(__xludf.DUMMYFUNCTION("AI(""70
42
2
3
14
34
10
10
8
23
8
3
1
1
7
12
29
24
24
4
17
5
4
1
1
8
198
34
9
11
8
11
24
2
31
3
4
12
10
56
21
20
160
100
6
22
21
50
47
1
56
120
2
1
75
270
900g
50g
40
100g
15
1
11
144
10
2
9
44
8
34
32
5
4
15
8
19
40
15
20
35
13
25
25
14
5
18
10
6
4
1
3
1"&amp;"
5 RAM
5 RAM (+1 VRAC)
3 RAM
4 RAM
 1 RAM + 1 VRAC
1 VRAC
1 RAM + 1 VRAC
3 RAM
1 RAM
VRAC
220
3
3
3
3
2
2
3
3
40ml
1
60
40
3
1
2
54
58
5
17
16
200
240
4
9
13
1
180
720
200
16
2
23
140
267
3 RAM
4
4
9
4
2000
21
5
1
2
51
2
10
4 RAM
7
1
3
3
70
91
157
97
92
"&amp;"94
214
34
90
98
174
554
1 596
101
67
22
7
1247
216
20
50
194
146
397
3
1
2
1
1
1
2
1
825
163
12
8
156
101
60
156
40
8
33
19
10
7
8
1
2
5
50
100
50
400
217
50
150
127
4
31
1
1
1
2
3
12
103
3
1
1
3
2
3 tasses 3 sous-coupe 
8
20
2 paires
2
50
2
46
40
4
2
6
4"&amp;"
3
5
9
5
4
120"")"),"180")</f>
        <v>180</v>
      </c>
    </row>
    <row r="133">
      <c r="A133" s="13" t="s">
        <v>273</v>
      </c>
      <c r="B133" s="14" t="s">
        <v>274</v>
      </c>
      <c r="C133" s="14">
        <v>720.0</v>
      </c>
      <c r="D133" s="22" t="str">
        <f>IFERROR(__xludf.DUMMYFUNCTION("AI(""Classement
Classement
Classement
Classement
Classement
Classement
Classement
Classement
Classement
Classement
Enveloppes
Papeterie
Papeterie
Classement
Classement
Classement
Classement
Classement
Classement
Classement
Papeterie
Papeterie
Bureau
Class"&amp;"ement
Classement
Papeterie
Papeterie
Papeterie
Papeterie
Papeterie
Classement
Classement
Classement
Classement
Classement
Classement
Enveloppes
Enveloppes"")"),"Classement")</f>
        <v>Classement</v>
      </c>
      <c r="E133" s="14" t="s">
        <v>266</v>
      </c>
      <c r="F133" s="22" t="str">
        <f>IFERROR(__xludf.DUMMYFUNCTION("AI(""70
42
2
3
14
34
10
10
8
23
8
3
1
1
7
12
29
24
24
4
17
5
4
1
1
8
198
34
9
11
8
11
24
2
31
3
4
12
10
56
21
20
160
100
6
22
21
50
47
1
56
120
2
1
75
270
900g
50g
40
100g
15
1
11
144
10
2
9
44
8
34
32
5
4
15
8
19
40
15
20
35
13
25
25
14
5
18
10
6
4
1
3
1"&amp;"
5 RAM
5 RAM (+1 VRAC)
3 RAM
4 RAM
 1 RAM + 1 VRAC
1 VRAC
1 RAM + 1 VRAC
3 RAM
1 RAM
VRAC
220
3
3
3
3
2
2
3
3
40ml
1
60
40
3
1
2
54
58
5
17
16
200
240
4
9
13
1
180
720
200
16
2
23
140
267
3 RAM
4
4
9
4
2000
21
5
1
2
51
2
10
4 RAM
7
1
3
3
70
91
157
97
92
"&amp;"94
214
34
90
98
174
554
1 596
101
67
22
7
1247
216
20
50
194
146
397
3
1
2
1
1
1
2
1
825
163
12
8
156
101
60
156
40
8
33
19
10
7
8
1
2
5
50
100
50
400
217
50
150
127
4
31
1
1
1
2
3
12
103
3
1
1
3
2
3 tasses 3 sous-coupe 
8
20
2 paires
2
50
2
46
40
4
2
6
4"&amp;"
3
5
9
5
4
120"")"),"720")</f>
        <v>720</v>
      </c>
    </row>
    <row r="134">
      <c r="A134" s="14" t="s">
        <v>275</v>
      </c>
      <c r="B134" s="14" t="s">
        <v>276</v>
      </c>
      <c r="C134" s="14">
        <v>200.0</v>
      </c>
      <c r="D134" s="22" t="str">
        <f>IFERROR(__xludf.DUMMYFUNCTION("AI(""Classement
Classement
Classement
Classement
Classement
Classement
Classement
Classement
Classement
Classement
Enveloppes
Papeterie
Papeterie
Classement
Classement
Classement
Classement
Classement
Classement
Classement
Papeterie
Papeterie
Bureau
Class"&amp;"ement
Classement
Papeterie
Papeterie
Papeterie
Papeterie
Papeterie
Classement
Classement
Classement
Classement
Classement
Classement
Enveloppes
Enveloppes"")"),"Classement")</f>
        <v>Classement</v>
      </c>
      <c r="E134" s="14" t="s">
        <v>266</v>
      </c>
      <c r="F134" s="22" t="str">
        <f>IFERROR(__xludf.DUMMYFUNCTION("AI(""70
42
2
3
14
34
10
10
8
23
8
3
1
1
7
12
29
24
24
4
17
5
4
1
1
8
198
34
9
11
8
11
24
2
31
3
4
12
10
56
21
20
160
100
6
22
21
50
47
1
56
120
2
1
75
270
900g
50g
40
100g
15
1
11
144
10
2
9
44
8
34
32
5
4
15
8
19
40
15
20
35
13
25
25
14
5
18
10
6
4
1
3
1"&amp;"
5 RAM
5 RAM (+1 VRAC)
3 RAM
4 RAM
 1 RAM + 1 VRAC
1 VRAC
1 RAM + 1 VRAC
3 RAM
1 RAM
VRAC
220
3
3
3
3
2
2
3
3
40ml
1
60
40
3
1
2
54
58
5
17
16
200
240
4
9
13
1
180
720
200
16
2
23
140
267
3 RAM
4
4
9
4
2000
21
5
1
2
51
2
10
4 RAM
7
1
3
3
70
91
157
97
92
"&amp;"94
214
34
90
98
174
554
1 596
101
67
22
7
1247
216
20
50
194
146
397
3
1
2
1
1
1
2
1
825
163
12
8
156
101
60
156
40
8
33
19
10
7
8
1
2
5
50
100
50
400
217
50
150
127
4
31
1
1
1
2
3
12
103
3
1
1
3
2
3 tasses 3 sous-coupe 
8
20
2 paires
2
50
2
46
40
4
2
6
4"&amp;"
3
5
9
5
4
120"")"),"200")</f>
        <v>200</v>
      </c>
    </row>
    <row r="135">
      <c r="A135" s="13" t="s">
        <v>277</v>
      </c>
      <c r="B135" s="14" t="s">
        <v>278</v>
      </c>
      <c r="C135" s="14">
        <v>16.0</v>
      </c>
      <c r="D135" s="22" t="str">
        <f>IFERROR(__xludf.DUMMYFUNCTION("AI(""Classement
Classement
Classement
Classement
Classement
Classement
Classement
Classement
Classement
Classement
Enveloppes
Papeterie
Papeterie
Classement
Classement
Classement
Classement
Classement
Classement
Classement
Papeterie
Papeterie
Bureau
Class"&amp;"ement
Classement
Papeterie
Papeterie
Papeterie
Papeterie
Papeterie
Classement
Classement
Classement
Classement
Classement
Classement
Enveloppes
Enveloppes"")"),"Classement")</f>
        <v>Classement</v>
      </c>
      <c r="E135" s="14" t="s">
        <v>266</v>
      </c>
      <c r="F135" s="22" t="str">
        <f>IFERROR(__xludf.DUMMYFUNCTION("AI(""70
42
2
3
14
34
10
10
8
23
8
3
1
1
7
12
29
24
24
4
17
5
4
1
1
8
198
34
9
11
8
11
24
2
31
3
4
12
10
56
21
20
160
100
6
22
21
50
47
1
56
120
2
1
75
270
900g
50g
40
100g
15
1
11
144
10
2
9
44
8
34
32
5
4
15
8
19
40
15
20
35
13
25
25
14
5
18
10
6
4
1
3
1"&amp;"
5 RAM
5 RAM (+1 VRAC)
3 RAM
4 RAM
 1 RAM + 1 VRAC
1 VRAC
1 RAM + 1 VRAC
3 RAM
1 RAM
VRAC
220
3
3
3
3
2
2
3
3
40ml
1
60
40
3
1
2
54
58
5
17
16
200
240
4
9
13
1
180
720
200
16
2
23
140
267
3 RAM
4
4
9
4
2000
21
5
1
2
51
2
10
4 RAM
7
1
3
3
70
91
157
97
92
"&amp;"94
214
34
90
98
174
554
1 596
101
67
22
7
1247
216
20
50
194
146
397
3
1
2
1
1
1
2
1
825
163
12
8
156
101
60
156
40
8
33
19
10
7
8
1
2
5
50
100
50
400
217
50
150
127
4
31
1
1
1
2
3
12
103
3
1
1
3
2
3 tasses 3 sous-coupe 
8
20
2 paires
2
50
2
46
40
4
2
6
4"&amp;"
3
5
9
5
4
120"")"),"16")</f>
        <v>16</v>
      </c>
    </row>
    <row r="136">
      <c r="A136" s="13" t="s">
        <v>279</v>
      </c>
      <c r="B136" s="14" t="s">
        <v>280</v>
      </c>
      <c r="C136" s="14">
        <v>2.0</v>
      </c>
      <c r="D136" s="22" t="str">
        <f>IFERROR(__xludf.DUMMYFUNCTION("AI(""Classement
Classement
Classement
Classement
Classement
Classement
Classement
Classement
Classement
Classement
Enveloppes
Papeterie
Papeterie
Classement
Classement
Classement
Classement
Classement
Classement
Classement
Papeterie
Papeterie
Bureau
Class"&amp;"ement
Classement
Papeterie
Papeterie
Papeterie
Papeterie
Papeterie
Classement
Classement
Classement
Classement
Classement
Classement
Enveloppes
Enveloppes"")"),"Classement")</f>
        <v>Classement</v>
      </c>
      <c r="E136" s="14" t="s">
        <v>266</v>
      </c>
      <c r="F136" s="22" t="str">
        <f>IFERROR(__xludf.DUMMYFUNCTION("AI(""70
42
2
3
14
34
10
10
8
23
8
3
1
1
7
12
29
24
24
4
17
5
4
1
1
8
198
34
9
11
8
11
24
2
31
3
4
12
10
56
21
20
160
100
6
22
21
50
47
1
56
120
2
1
75
270
900g
50g
40
100g
15
1
11
144
10
2
9
44
8
34
32
5
4
15
8
19
40
15
20
35
13
25
25
14
5
18
10
6
4
1
3
1"&amp;"
5 RAM
5 RAM (+1 VRAC)
3 RAM
4 RAM
 1 RAM + 1 VRAC
1 VRAC
1 RAM + 1 VRAC
3 RAM
1 RAM
VRAC
220
3
3
3
3
2
2
3
3
40ml
1
60
40
3
1
2
54
58
5
17
16
200
240
4
9
13
1
180
720
200
16
2
23
140
267
3 RAM
4
4
9
4
2000
21
5
1
2
51
2
10
4 RAM
7
1
3
3
70
91
157
97
92
"&amp;"94
214
34
90
98
174
554
1 596
101
67
22
7
1247
216
20
50
194
146
397
3
1
2
1
1
1
2
1
825
163
12
8
156
101
60
156
40
8
33
19
10
7
8
1
2
5
50
100
50
400
217
50
150
127
4
31
1
1
1
2
3
12
103
3
1
1
3
2
3 tasses 3 sous-coupe 
8
20
2 paires
2
50
2
46
40
4
2
6
4"&amp;"
3
5
9
5
4
120"")"),"2")</f>
        <v>2</v>
      </c>
    </row>
    <row r="137">
      <c r="A137" s="14" t="s">
        <v>281</v>
      </c>
      <c r="B137" s="14" t="s">
        <v>282</v>
      </c>
      <c r="C137" s="14">
        <v>23.0</v>
      </c>
      <c r="D137" s="22" t="str">
        <f>IFERROR(__xludf.DUMMYFUNCTION("AI(""Classement
Classement
Classement
Classement
Classement
Classement
Classement
Classement
Classement
Classement
Enveloppes
Papeterie
Papeterie
Classement
Classement
Classement
Classement
Classement
Classement
Classement
Papeterie
Papeterie
Bureau
Class"&amp;"ement
Classement
Papeterie
Papeterie
Papeterie
Papeterie
Papeterie
Classement
Classement
Classement
Classement
Classement
Classement
Enveloppes
Enveloppes"")"),"Classement")</f>
        <v>Classement</v>
      </c>
      <c r="E137" s="14" t="s">
        <v>266</v>
      </c>
      <c r="F137" s="22" t="str">
        <f>IFERROR(__xludf.DUMMYFUNCTION("AI(""70
42
2
3
14
34
10
10
8
23
8
3
1
1
7
12
29
24
24
4
17
5
4
1
1
8
198
34
9
11
8
11
24
2
31
3
4
12
10
56
21
20
160
100
6
22
21
50
47
1
56
120
2
1
75
270
900g
50g
40
100g
15
1
11
144
10
2
9
44
8
34
32
5
4
15
8
19
40
15
20
35
13
25
25
14
5
18
10
6
4
1
3
1"&amp;"
5 RAM
5 RAM (+1 VRAC)
3 RAM
4 RAM
 1 RAM + 1 VRAC
1 VRAC
1 RAM + 1 VRAC
3 RAM
1 RAM
VRAC
220
3
3
3
3
2
2
3
3
40ml
1
60
40
3
1
2
54
58
5
17
16
200
240
4
9
13
1
180
720
200
16
2
23
140
267
3 RAM
4
4
9
4
2000
21
5
1
2
51
2
10
4 RAM
7
1
3
3
70
91
157
97
92
"&amp;"94
214
34
90
98
174
554
1 596
101
67
22
7
1247
216
20
50
194
146
397
3
1
2
1
1
1
2
1
825
163
12
8
156
101
60
156
40
8
33
19
10
7
8
1
2
5
50
100
50
400
217
50
150
127
4
31
1
1
1
2
3
12
103
3
1
1
3
2
3 tasses 3 sous-coupe 
8
20
2 paires
2
50
2
46
40
4
2
6
4"&amp;"
3
5
9
5
4
120"")"),"23")</f>
        <v>23</v>
      </c>
    </row>
    <row r="138">
      <c r="A138" s="13" t="s">
        <v>283</v>
      </c>
      <c r="B138" s="14" t="s">
        <v>284</v>
      </c>
      <c r="C138" s="14">
        <v>140.0</v>
      </c>
      <c r="D138" s="22" t="str">
        <f>IFERROR(__xludf.DUMMYFUNCTION("AI(""Classement
Classement
Classement
Classement
Classement
Classement
Classement
Classement
Classement
Classement
Enveloppes
Papeterie
Papeterie
Classement
Classement
Classement
Classement
Classement
Classement
Classement
Papeterie
Papeterie
Bureau
Class"&amp;"ement
Classement
Papeterie
Papeterie
Papeterie
Papeterie
Papeterie
Classement
Classement
Classement
Classement
Classement
Classement
Enveloppes
Enveloppes"")"),"Classement")</f>
        <v>Classement</v>
      </c>
      <c r="E138" s="14" t="s">
        <v>266</v>
      </c>
      <c r="F138" s="22" t="str">
        <f>IFERROR(__xludf.DUMMYFUNCTION("AI(""70
42
2
3
14
34
10
10
8
23
8
3
1
1
7
12
29
24
24
4
17
5
4
1
1
8
198
34
9
11
8
11
24
2
31
3
4
12
10
56
21
20
160
100
6
22
21
50
47
1
56
120
2
1
75
270
900g
50g
40
100g
15
1
11
144
10
2
9
44
8
34
32
5
4
15
8
19
40
15
20
35
13
25
25
14
5
18
10
6
4
1
3
1"&amp;"
5 RAM
5 RAM (+1 VRAC)
3 RAM
4 RAM
 1 RAM + 1 VRAC
1 VRAC
1 RAM + 1 VRAC
3 RAM
1 RAM
VRAC
220
3
3
3
3
2
2
3
3
40ml
1
60
40
3
1
2
54
58
5
17
16
200
240
4
9
13
1
180
720
200
16
2
23
140
267
3 RAM
4
4
9
4
2000
21
5
1
2
51
2
10
4 RAM
7
1
3
3
70
91
157
97
92
"&amp;"94
214
34
90
98
174
554
1 596
101
67
22
7
1247
216
20
50
194
146
397
3
1
2
1
1
1
2
1
825
163
12
8
156
101
60
156
40
8
33
19
10
7
8
1
2
5
50
100
50
400
217
50
150
127
4
31
1
1
1
2
3
12
103
3
1
1
3
2
3 tasses 3 sous-coupe 
8
20
2 paires
2
50
2
46
40
4
2
6
4"&amp;"
3
5
9
5
4
120"")"),"140")</f>
        <v>140</v>
      </c>
    </row>
    <row r="139">
      <c r="A139" s="14" t="s">
        <v>285</v>
      </c>
      <c r="B139" s="14" t="s">
        <v>286</v>
      </c>
      <c r="C139" s="14">
        <v>267.0</v>
      </c>
      <c r="D139" s="22" t="str">
        <f>IFERROR(__xludf.DUMMYFUNCTION("AI(""Classement
Classement
Classement
Classement
Classement
Classement
Classement
Classement
Classement
Classement
Enveloppes
Papeterie
Papeterie
Classement
Classement
Classement
Classement
Classement
Classement
Classement
Papeterie
Papeterie
Bureau
Class"&amp;"ement
Classement
Papeterie
Papeterie
Papeterie
Papeterie
Papeterie
Classement
Classement
Classement
Classement
Classement
Classement
Enveloppes
Enveloppes"")"),"Papeterie")</f>
        <v>Papeterie</v>
      </c>
      <c r="E139" s="14" t="s">
        <v>266</v>
      </c>
      <c r="F139" s="14">
        <v>3.0</v>
      </c>
    </row>
    <row r="140">
      <c r="A140" s="13" t="s">
        <v>287</v>
      </c>
      <c r="B140" s="14" t="s">
        <v>288</v>
      </c>
      <c r="C140" s="14">
        <v>3.0</v>
      </c>
      <c r="D140" s="22" t="str">
        <f>IFERROR(__xludf.DUMMYFUNCTION("AI(""Classement
Classement
Classement
Classement
Classement
Classement
Classement
Classement
Classement
Classement
Enveloppes
Papeterie
Papeterie
Classement
Classement
Classement
Classement
Classement
Classement
Classement
Papeterie
Papeterie
Bureau
Class"&amp;"ement
Classement
Papeterie
Papeterie
Papeterie
Papeterie
Papeterie
Classement
Classement
Classement
Classement
Classement
Classement
Enveloppes
Enveloppes"")"),"Papeterie")</f>
        <v>Papeterie</v>
      </c>
      <c r="E140" s="14" t="s">
        <v>266</v>
      </c>
      <c r="F140" s="14">
        <v>3.0</v>
      </c>
    </row>
    <row r="141">
      <c r="A141" s="13" t="s">
        <v>289</v>
      </c>
      <c r="B141" s="14" t="s">
        <v>290</v>
      </c>
      <c r="C141" s="14">
        <v>4.0</v>
      </c>
      <c r="D141" s="22" t="str">
        <f>IFERROR(__xludf.DUMMYFUNCTION("AI(""Classement
Classement
Classement
Classement
Classement
Classement
Classement
Classement
Classement
Classement
Enveloppes
Papeterie
Papeterie
Classement
Classement
Classement
Classement
Classement
Classement
Classement
Papeterie
Papeterie
Bureau
Class"&amp;"ement
Classement
Papeterie
Papeterie
Papeterie
Papeterie
Papeterie
Classement
Classement
Classement
Classement
Classement
Classement
Enveloppes
Enveloppes"")"),"Classement")</f>
        <v>Classement</v>
      </c>
      <c r="E141" s="14" t="s">
        <v>266</v>
      </c>
      <c r="F141" s="22" t="str">
        <f>IFERROR(__xludf.DUMMYFUNCTION("AI(""70
42
2
3
14
34
10
10
8
23
8
3
1
1
7
12
29
24
24
4
17
5
4
1
1
8
198
34
9
11
8
11
24
2
31
3
4
12
10
56
21
20
160
100
6
22
21
50
47
1
56
120
2
1
75
270
900g
50g
40
100g
15
1
11
144
10
2
9
44
8
34
32
5
4
15
8
19
40
15
20
35
13
25
25
14
5
18
10
6
4
1
3
1"&amp;"
5 RAM
5 RAM (+1 VRAC)
3 RAM
4 RAM
 1 RAM + 1 VRAC
1 VRAC
1 RAM + 1 VRAC
3 RAM
1 RAM
VRAC
220
3
3
3
3
2
2
3
3
40ml
1
60
40
3
1
2
54
58
5
17
16
200
240
4
9
13
1
180
720
200
16
2
23
140
267
3 RAM
4
4
9
4
2000
21
5
1
2
51
2
10
4 RAM
7
1
3
3
70
91
157
97
92
"&amp;"94
214
34
90
98
174
554
1 596
101
67
22
7
1247
216
20
50
194
146
397
3
1
2
1
1
1
2
1
825
163
12
8
156
101
60
156
40
8
33
19
10
7
8
1
2
5
50
100
50
400
217
50
150
127
4
31
1
1
1
2
3
12
103
3
1
1
3
2
3 tasses 3 sous-coupe 
8
20
2 paires
2
50
2
46
40
4
2
6
4"&amp;"
3
5
9
5
4
120"")"),"4")</f>
        <v>4</v>
      </c>
    </row>
    <row r="142">
      <c r="A142" s="14" t="s">
        <v>291</v>
      </c>
      <c r="B142" s="14" t="s">
        <v>292</v>
      </c>
      <c r="C142" s="14">
        <v>4.0</v>
      </c>
      <c r="D142" s="22" t="str">
        <f>IFERROR(__xludf.DUMMYFUNCTION("AI(""Classement
Classement
Classement
Classement
Classement
Classement
Classement
Classement
Classement
Classement
Enveloppes
Papeterie
Papeterie
Classement
Classement
Classement
Classement
Classement
Classement
Classement
Papeterie
Papeterie
Bureau
Class"&amp;"ement
Classement
Papeterie
Papeterie
Papeterie
Papeterie
Papeterie
Classement
Classement
Classement
Classement
Classement
Classement
Enveloppes
Enveloppes"")"),"Classement")</f>
        <v>Classement</v>
      </c>
      <c r="E142" s="14" t="s">
        <v>266</v>
      </c>
      <c r="F142" s="22" t="str">
        <f>IFERROR(__xludf.DUMMYFUNCTION("AI(""70
42
2
3
14
34
10
10
8
23
8
3
1
1
7
12
29
24
24
4
17
5
4
1
1
8
198
34
9
11
8
11
24
2
31
3
4
12
10
56
21
20
160
100
6
22
21
50
47
1
56
120
2
1
75
270
900g
50g
40
100g
15
1
11
144
10
2
9
44
8
34
32
5
4
15
8
19
40
15
20
35
13
25
25
14
5
18
10
6
4
1
3
1"&amp;"
5 RAM
5 RAM (+1 VRAC)
3 RAM
4 RAM
 1 RAM + 1 VRAC
1 VRAC
1 RAM + 1 VRAC
3 RAM
1 RAM
VRAC
220
3
3
3
3
2
2
3
3
40ml
1
60
40
3
1
2
54
58
5
17
16
200
240
4
9
13
1
180
720
200
16
2
23
140
267
3 RAM
4
4
9
4
2000
21
5
1
2
51
2
10
4 RAM
7
1
3
3
70
91
157
97
92
"&amp;"94
214
34
90
98
174
554
1 596
101
67
22
7
1247
216
20
50
194
146
397
3
1
2
1
1
1
2
1
825
163
12
8
156
101
60
156
40
8
33
19
10
7
8
1
2
5
50
100
50
400
217
50
150
127
4
31
1
1
1
2
3
12
103
3
1
1
3
2
3 tasses 3 sous-coupe 
8
20
2 paires
2
50
2
46
40
4
2
6
4"&amp;"
3
5
9
5
4
120"")"),"4")</f>
        <v>4</v>
      </c>
    </row>
    <row r="143">
      <c r="A143" s="13" t="s">
        <v>293</v>
      </c>
      <c r="B143" s="14" t="s">
        <v>294</v>
      </c>
      <c r="C143" s="14">
        <v>9.0</v>
      </c>
      <c r="D143" s="22" t="str">
        <f>IFERROR(__xludf.DUMMYFUNCTION("AI(""Classement
Classement
Classement
Classement
Classement
Classement
Classement
Classement
Classement
Classement
Enveloppes
Papeterie
Papeterie
Classement
Classement
Classement
Classement
Classement
Classement
Classement
Papeterie
Papeterie
Bureau
Class"&amp;"ement
Classement
Papeterie
Papeterie
Papeterie
Papeterie
Papeterie
Classement
Classement
Classement
Classement
Classement
Classement
Enveloppes
Enveloppes"")"),"Classement")</f>
        <v>Classement</v>
      </c>
      <c r="E143" s="14" t="s">
        <v>266</v>
      </c>
      <c r="F143" s="22" t="str">
        <f>IFERROR(__xludf.DUMMYFUNCTION("AI(""70
42
2
3
14
34
10
10
8
23
8
3
1
1
7
12
29
24
24
4
17
5
4
1
1
8
198
34
9
11
8
11
24
2
31
3
4
12
10
56
21
20
160
100
6
22
21
50
47
1
56
120
2
1
75
270
900g
50g
40
100g
15
1
11
144
10
2
9
44
8
34
32
5
4
15
8
19
40
15
20
35
13
25
25
14
5
18
10
6
4
1
3
1"&amp;"
5 RAM
5 RAM (+1 VRAC)
3 RAM
4 RAM
 1 RAM + 1 VRAC
1 VRAC
1 RAM + 1 VRAC
3 RAM
1 RAM
VRAC
220
3
3
3
3
2
2
3
3
40ml
1
60
40
3
1
2
54
58
5
17
16
200
240
4
9
13
1
180
720
200
16
2
23
140
267
3 RAM
4
4
9
4
2000
21
5
1
2
51
2
10
4 RAM
7
1
3
3
70
91
157
97
92
"&amp;"94
214
34
90
98
174
554
1 596
101
67
22
7
1247
216
20
50
194
146
397
3
1
2
1
1
1
2
1
825
163
12
8
156
101
60
156
40
8
33
19
10
7
8
1
2
5
50
100
50
400
217
50
150
127
4
31
1
1
1
2
3
12
103
3
1
1
3
2
3 tasses 3 sous-coupe 
8
20
2 paires
2
50
2
46
40
4
2
6
4"&amp;"
3
5
9
5
4
120"")"),"9")</f>
        <v>9</v>
      </c>
    </row>
    <row r="144">
      <c r="A144" s="14" t="s">
        <v>295</v>
      </c>
      <c r="B144" s="14" t="s">
        <v>296</v>
      </c>
      <c r="C144" s="14">
        <v>4.0</v>
      </c>
      <c r="D144" s="22" t="str">
        <f>IFERROR(__xludf.DUMMYFUNCTION("AI(""Classement
Classement
Classement
Classement
Classement
Classement
Classement
Classement
Classement
Classement
Enveloppes
Papeterie
Papeterie
Classement
Classement
Classement
Classement
Classement
Classement
Classement
Papeterie
Papeterie
Bureau
Class"&amp;"ement
Classement
Papeterie
Papeterie
Papeterie
Papeterie
Papeterie
Classement
Classement
Classement
Classement
Classement
Classement
Enveloppes
Enveloppes"")"),"Classement")</f>
        <v>Classement</v>
      </c>
      <c r="E144" s="14" t="s">
        <v>266</v>
      </c>
      <c r="F144" s="22" t="str">
        <f>IFERROR(__xludf.DUMMYFUNCTION("AI(""70
42
2
3
14
34
10
10
8
23
8
3
1
1
7
12
29
24
24
4
17
5
4
1
1
8
198
34
9
11
8
11
24
2
31
3
4
12
10
56
21
20
160
100
6
22
21
50
47
1
56
120
2
1
75
270
900g
50g
40
100g
15
1
11
144
10
2
9
44
8
34
32
5
4
15
8
19
40
15
20
35
13
25
25
14
5
18
10
6
4
1
3
1"&amp;"
5 RAM
5 RAM (+1 VRAC)
3 RAM
4 RAM
 1 RAM + 1 VRAC
1 VRAC
1 RAM + 1 VRAC
3 RAM
1 RAM
VRAC
220
3
3
3
3
2
2
3
3
40ml
1
60
40
3
1
2
54
58
5
17
16
200
240
4
9
13
1
180
720
200
16
2
23
140
267
3 RAM
4
4
9
4
2000
21
5
1
2
51
2
10
4 RAM
7
1
3
3
70
91
157
97
92
"&amp;"94
214
34
90
98
174
554
1 596
101
67
22
7
1247
216
20
50
194
146
397
3
1
2
1
1
1
2
1
825
163
12
8
156
101
60
156
40
8
33
19
10
7
8
1
2
5
50
100
50
400
217
50
150
127
4
31
1
1
1
2
3
12
103
3
1
1
3
2
3 tasses 3 sous-coupe 
8
20
2 paires
2
50
2
46
40
4
2
6
4"&amp;"
3
5
9
5
4
120"")"),"4")</f>
        <v>4</v>
      </c>
    </row>
    <row r="145">
      <c r="A145" s="14" t="s">
        <v>297</v>
      </c>
      <c r="B145" s="14" t="s">
        <v>298</v>
      </c>
      <c r="C145" s="14">
        <v>2000.0</v>
      </c>
      <c r="D145" s="22" t="str">
        <f>IFERROR(__xludf.DUMMYFUNCTION("AI(""Classement
Classement
Classement
Classement
Classement
Classement
Classement
Classement
Classement
Classement
Enveloppes
Papeterie
Papeterie
Classement
Classement
Classement
Classement
Classement
Classement
Classement
Papeterie
Papeterie
Bureau
Class"&amp;"ement
Classement
Papeterie
Papeterie
Papeterie
Papeterie
Papeterie
Classement
Classement
Classement
Classement
Classement
Classement
Enveloppes
Enveloppes"")"),"Classement")</f>
        <v>Classement</v>
      </c>
      <c r="E145" s="14" t="s">
        <v>266</v>
      </c>
      <c r="F145" s="22" t="str">
        <f>IFERROR(__xludf.DUMMYFUNCTION("AI(""70
42
2
3
14
34
10
10
8
23
8
3
1
1
7
12
29
24
24
4
17
5
4
1
1
8
198
34
9
11
8
11
24
2
31
3
4
12
10
56
21
20
160
100
6
22
21
50
47
1
56
120
2
1
75
270
900g
50g
40
100g
15
1
11
144
10
2
9
44
8
34
32
5
4
15
8
19
40
15
20
35
13
25
25
14
5
18
10
6
4
1
3
1"&amp;"
5 RAM
5 RAM (+1 VRAC)
3 RAM
4 RAM
 1 RAM + 1 VRAC
1 VRAC
1 RAM + 1 VRAC
3 RAM
1 RAM
VRAC
220
3
3
3
3
2
2
3
3
40ml
1
60
40
3
1
2
54
58
5
17
16
200
240
4
9
13
1
180
720
200
16
2
23
140
267
3 RAM
4
4
9
4
2000
21
5
1
2
51
2
10
4 RAM
7
1
3
3
70
91
157
97
92
"&amp;"94
214
34
90
98
174
554
1 596
101
67
22
7
1247
216
20
50
194
146
397
3
1
2
1
1
1
2
1
825
163
12
8
156
101
60
156
40
8
33
19
10
7
8
1
2
5
50
100
50
400
217
50
150
127
4
31
1
1
1
2
3
12
103
3
1
1
3
2
3 tasses 3 sous-coupe 
8
20
2 paires
2
50
2
46
40
4
2
6
4"&amp;"
3
5
9
5
4
120"")"),"2000")</f>
        <v>2000</v>
      </c>
    </row>
    <row r="146">
      <c r="A146" s="14" t="s">
        <v>299</v>
      </c>
      <c r="B146" s="14" t="s">
        <v>300</v>
      </c>
      <c r="C146" s="14">
        <v>21.0</v>
      </c>
      <c r="D146" s="22" t="str">
        <f>IFERROR(__xludf.DUMMYFUNCTION("AI(""Classement
Classement
Classement
Classement
Classement
Classement
Classement
Classement
Classement
Classement
Enveloppes
Papeterie
Papeterie
Classement
Classement
Classement
Classement
Classement
Classement
Classement
Papeterie
Papeterie
Bureau
Class"&amp;"ement
Classement
Papeterie
Papeterie
Papeterie
Papeterie
Papeterie
Classement
Classement
Classement
Classement
Classement
Classement
Enveloppes
Enveloppes"")"),"Classement")</f>
        <v>Classement</v>
      </c>
      <c r="E146" s="14" t="s">
        <v>266</v>
      </c>
      <c r="F146" s="22" t="str">
        <f>IFERROR(__xludf.DUMMYFUNCTION("AI(""70
42
2
3
14
34
10
10
8
23
8
3
1
1
7
12
29
24
24
4
17
5
4
1
1
8
198
34
9
11
8
11
24
2
31
3
4
12
10
56
21
20
160
100
6
22
21
50
47
1
56
120
2
1
75
270
900g
50g
40
100g
15
1
11
144
10
2
9
44
8
34
32
5
4
15
8
19
40
15
20
35
13
25
25
14
5
18
10
6
4
1
3
1"&amp;"
5 RAM
5 RAM (+1 VRAC)
3 RAM
4 RAM
 1 RAM + 1 VRAC
1 VRAC
1 RAM + 1 VRAC
3 RAM
1 RAM
VRAC
220
3
3
3
3
2
2
3
3
40ml
1
60
40
3
1
2
54
58
5
17
16
200
240
4
9
13
1
180
720
200
16
2
23
140
267
3 RAM
4
4
9
4
2000
21
5
1
2
51
2
10
4 RAM
7
1
3
3
70
91
157
97
92
"&amp;"94
214
34
90
98
174
554
1 596
101
67
22
7
1247
216
20
50
194
146
397
3
1
2
1
1
1
2
1
825
163
12
8
156
101
60
156
40
8
33
19
10
7
8
1
2
5
50
100
50
400
217
50
150
127
4
31
1
1
1
2
3
12
103
3
1
1
3
2
3 tasses 3 sous-coupe 
8
20
2 paires
2
50
2
46
40
4
2
6
4"&amp;"
3
5
9
5
4
120"")"),"21")</f>
        <v>21</v>
      </c>
    </row>
    <row r="147">
      <c r="A147" s="13" t="s">
        <v>301</v>
      </c>
      <c r="B147" s="14" t="s">
        <v>302</v>
      </c>
      <c r="C147" s="14">
        <v>5.0</v>
      </c>
      <c r="D147" s="22" t="str">
        <f>IFERROR(__xludf.DUMMYFUNCTION("AI(""Classement
Classement
Classement
Classement
Classement
Classement
Classement
Classement
Classement
Classement
Enveloppes
Papeterie
Papeterie
Classement
Classement
Classement
Classement
Classement
Classement
Classement
Papeterie
Papeterie
Bureau
Class"&amp;"ement
Classement
Papeterie
Papeterie
Papeterie
Papeterie
Papeterie
Classement
Classement
Classement
Classement
Classement
Classement
Enveloppes
Enveloppes"")"),"Classement")</f>
        <v>Classement</v>
      </c>
      <c r="E147" s="14" t="s">
        <v>266</v>
      </c>
      <c r="F147" s="22" t="str">
        <f>IFERROR(__xludf.DUMMYFUNCTION("AI(""70
42
2
3
14
34
10
10
8
23
8
3
1
1
7
12
29
24
24
4
17
5
4
1
1
8
198
34
9
11
8
11
24
2
31
3
4
12
10
56
21
20
160
100
6
22
21
50
47
1
56
120
2
1
75
270
900g
50g
40
100g
15
1
11
144
10
2
9
44
8
34
32
5
4
15
8
19
40
15
20
35
13
25
25
14
5
18
10
6
4
1
3
1"&amp;"
5 RAM
5 RAM (+1 VRAC)
3 RAM
4 RAM
 1 RAM + 1 VRAC
1 VRAC
1 RAM + 1 VRAC
3 RAM
1 RAM
VRAC
220
3
3
3
3
2
2
3
3
40ml
1
60
40
3
1
2
54
58
5
17
16
200
240
4
9
13
1
180
720
200
16
2
23
140
267
3 RAM
4
4
9
4
2000
21
5
1
2
51
2
10
4 RAM
7
1
3
3
70
91
157
97
92
"&amp;"94
214
34
90
98
174
554
1 596
101
67
22
7
1247
216
20
50
194
146
397
3
1
2
1
1
1
2
1
825
163
12
8
156
101
60
156
40
8
33
19
10
7
8
1
2
5
50
100
50
400
217
50
150
127
4
31
1
1
1
2
3
12
103
3
1
1
3
2
3 tasses 3 sous-coupe 
8
20
2 paires
2
50
2
46
40
4
2
6
4"&amp;"
3
5
9
5
4
120"")"),"5")</f>
        <v>5</v>
      </c>
    </row>
    <row r="148">
      <c r="A148" s="13" t="s">
        <v>303</v>
      </c>
      <c r="B148" s="14" t="s">
        <v>304</v>
      </c>
      <c r="C148" s="14">
        <v>1.0</v>
      </c>
      <c r="D148" s="22" t="str">
        <f>IFERROR(__xludf.DUMMYFUNCTION("AI(""Classement
Classement
Classement
Classement
Classement
Classement
Classement
Classement
Classement
Classement
Enveloppes
Papeterie
Papeterie
Classement
Classement
Classement
Classement
Classement
Classement
Classement
Papeterie
Papeterie
Bureau
Class"&amp;"ement
Classement
Papeterie
Papeterie
Papeterie
Papeterie
Papeterie
Classement
Classement
Classement
Classement
Classement
Classement
Enveloppes
Enveloppes"")"),"Papeterie")</f>
        <v>Papeterie</v>
      </c>
      <c r="E148" s="14" t="s">
        <v>266</v>
      </c>
      <c r="F148" s="22" t="str">
        <f>IFERROR(__xludf.DUMMYFUNCTION("AI(""70
42
2
3
14
34
10
10
8
23
8
3
1
1
7
12
29
24
24
4
17
5
4
1
1
8
198
34
9
11
8
11
24
2
31
3
4
12
10
56
21
20
160
100
6
22
21
50
47
1
56
120
2
1
75
270
900g
50g
40
100g
15
1
11
144
10
2
9
44
8
34
32
5
4
15
8
19
40
15
20
35
13
25
25
14
5
18
10
6
4
1
3
1"&amp;"
5 RAM
5 RAM (+1 VRAC)
3 RAM
4 RAM
 1 RAM + 1 VRAC
1 VRAC
1 RAM + 1 VRAC
3 RAM
1 RAM
VRAC
220
3
3
3
3
2
2
3
3
40ml
1
60
40
3
1
2
54
58
5
17
16
200
240
4
9
13
1
180
720
200
16
2
23
140
267
3 RAM
4
4
9
4
2000
21
5
1
2
51
2
10
4 RAM
7
1
3
3
70
91
157
97
92
"&amp;"94
214
34
90
98
174
554
1 596
101
67
22
7
1247
216
20
50
194
146
397
3
1
2
1
1
1
2
1
825
163
12
8
156
101
60
156
40
8
33
19
10
7
8
1
2
5
50
100
50
400
217
50
150
127
4
31
1
1
1
2
3
12
103
3
1
1
3
2
3 tasses 3 sous-coupe 
8
20
2 paires
2
50
2
46
40
4
2
6
4"&amp;"
3
5
9
5
4
120"")"),"1")</f>
        <v>1</v>
      </c>
    </row>
    <row r="149">
      <c r="A149" s="14" t="s">
        <v>305</v>
      </c>
      <c r="B149" s="14" t="s">
        <v>306</v>
      </c>
      <c r="C149" s="14">
        <v>2.0</v>
      </c>
      <c r="D149" s="22" t="str">
        <f>IFERROR(__xludf.DUMMYFUNCTION("AI(""Classement
Classement
Classement
Classement
Classement
Classement
Classement
Classement
Classement
Classement
Enveloppes
Papeterie
Papeterie
Classement
Classement
Classement
Classement
Classement
Classement
Classement
Papeterie
Papeterie
Bureau
Class"&amp;"ement
Classement
Papeterie
Papeterie
Papeterie
Papeterie
Papeterie
Classement
Classement
Classement
Classement
Classement
Classement
Enveloppes
Enveloppes"")"),"Papeterie")</f>
        <v>Papeterie</v>
      </c>
      <c r="E149" s="14" t="s">
        <v>266</v>
      </c>
      <c r="F149" s="22" t="str">
        <f>IFERROR(__xludf.DUMMYFUNCTION("AI(""70
42
2
3
14
34
10
10
8
23
8
3
1
1
7
12
29
24
24
4
17
5
4
1
1
8
198
34
9
11
8
11
24
2
31
3
4
12
10
56
21
20
160
100
6
22
21
50
47
1
56
120
2
1
75
270
900g
50g
40
100g
15
1
11
144
10
2
9
44
8
34
32
5
4
15
8
19
40
15
20
35
13
25
25
14
5
18
10
6
4
1
3
1"&amp;"
5 RAM
5 RAM (+1 VRAC)
3 RAM
4 RAM
 1 RAM + 1 VRAC
1 VRAC
1 RAM + 1 VRAC
3 RAM
1 RAM
VRAC
220
3
3
3
3
2
2
3
3
40ml
1
60
40
3
1
2
54
58
5
17
16
200
240
4
9
13
1
180
720
200
16
2
23
140
267
3 RAM
4
4
9
4
2000
21
5
1
2
51
2
10
4 RAM
7
1
3
3
70
91
157
97
92
"&amp;"94
214
34
90
98
174
554
1 596
101
67
22
7
1247
216
20
50
194
146
397
3
1
2
1
1
1
2
1
825
163
12
8
156
101
60
156
40
8
33
19
10
7
8
1
2
5
50
100
50
400
217
50
150
127
4
31
1
1
1
2
3
12
103
3
1
1
3
2
3 tasses 3 sous-coupe 
8
20
2 paires
2
50
2
46
40
4
2
6
4"&amp;"
3
5
9
5
4
120"")"),"2")</f>
        <v>2</v>
      </c>
    </row>
    <row r="150">
      <c r="A150" s="14" t="s">
        <v>307</v>
      </c>
      <c r="B150" s="14" t="s">
        <v>308</v>
      </c>
      <c r="C150" s="14">
        <v>51.0</v>
      </c>
      <c r="D150" s="22" t="str">
        <f>IFERROR(__xludf.DUMMYFUNCTION("AI(""Classement
Classement
Classement
Classement
Classement
Classement
Classement
Classement
Classement
Classement
Enveloppes
Papeterie
Papeterie
Classement
Classement
Classement
Classement
Classement
Classement
Classement
Papeterie
Papeterie
Bureau
Class"&amp;"ement
Classement
Papeterie
Papeterie
Papeterie
Papeterie
Papeterie
Classement
Classement
Classement
Classement
Classement
Classement
Enveloppes
Enveloppes"")"),"Bureau")</f>
        <v>Bureau</v>
      </c>
      <c r="E150" s="14" t="s">
        <v>266</v>
      </c>
      <c r="F150" s="22" t="str">
        <f>IFERROR(__xludf.DUMMYFUNCTION("AI(""70
42
2
3
14
34
10
10
8
23
8
3
1
1
7
12
29
24
24
4
17
5
4
1
1
8
198
34
9
11
8
11
24
2
31
3
4
12
10
56
21
20
160
100
6
22
21
50
47
1
56
120
2
1
75
270
900g
50g
40
100g
15
1
11
144
10
2
9
44
8
34
32
5
4
15
8
19
40
15
20
35
13
25
25
14
5
18
10
6
4
1
3
1"&amp;"
5 RAM
5 RAM (+1 VRAC)
3 RAM
4 RAM
 1 RAM + 1 VRAC
1 VRAC
1 RAM + 1 VRAC
3 RAM
1 RAM
VRAC
220
3
3
3
3
2
2
3
3
40ml
1
60
40
3
1
2
54
58
5
17
16
200
240
4
9
13
1
180
720
200
16
2
23
140
267
3 RAM
4
4
9
4
2000
21
5
1
2
51
2
10
4 RAM
7
1
3
3
70
91
157
97
92
"&amp;"94
214
34
90
98
174
554
1 596
101
67
22
7
1247
216
20
50
194
146
397
3
1
2
1
1
1
2
1
825
163
12
8
156
101
60
156
40
8
33
19
10
7
8
1
2
5
50
100
50
400
217
50
150
127
4
31
1
1
1
2
3
12
103
3
1
1
3
2
3 tasses 3 sous-coupe 
8
20
2 paires
2
50
2
46
40
4
2
6
4"&amp;"
3
5
9
5
4
120"")"),"51")</f>
        <v>51</v>
      </c>
    </row>
    <row r="151">
      <c r="A151" s="14" t="s">
        <v>309</v>
      </c>
      <c r="B151" s="14" t="s">
        <v>310</v>
      </c>
      <c r="C151" s="14">
        <v>2.0</v>
      </c>
      <c r="D151" s="22" t="str">
        <f>IFERROR(__xludf.DUMMYFUNCTION("AI(""Classement
Classement
Classement
Classement
Classement
Classement
Classement
Classement
Classement
Classement
Enveloppes
Papeterie
Papeterie
Classement
Classement
Classement
Classement
Classement
Classement
Classement
Papeterie
Papeterie
Bureau
Class"&amp;"ement
Classement
Papeterie
Papeterie
Papeterie
Papeterie
Papeterie
Classement
Classement
Classement
Classement
Classement
Classement
Enveloppes
Enveloppes"")"),"Classement")</f>
        <v>Classement</v>
      </c>
      <c r="E151" s="14" t="s">
        <v>266</v>
      </c>
      <c r="F151" s="22" t="str">
        <f>IFERROR(__xludf.DUMMYFUNCTION("AI(""70
42
2
3
14
34
10
10
8
23
8
3
1
1
7
12
29
24
24
4
17
5
4
1
1
8
198
34
9
11
8
11
24
2
31
3
4
12
10
56
21
20
160
100
6
22
21
50
47
1
56
120
2
1
75
270
900g
50g
40
100g
15
1
11
144
10
2
9
44
8
34
32
5
4
15
8
19
40
15
20
35
13
25
25
14
5
18
10
6
4
1
3
1"&amp;"
5 RAM
5 RAM (+1 VRAC)
3 RAM
4 RAM
 1 RAM + 1 VRAC
1 VRAC
1 RAM + 1 VRAC
3 RAM
1 RAM
VRAC
220
3
3
3
3
2
2
3
3
40ml
1
60
40
3
1
2
54
58
5
17
16
200
240
4
9
13
1
180
720
200
16
2
23
140
267
3 RAM
4
4
9
4
2000
21
5
1
2
51
2
10
4 RAM
7
1
3
3
70
91
157
97
92
"&amp;"94
214
34
90
98
174
554
1 596
101
67
22
7
1247
216
20
50
194
146
397
3
1
2
1
1
1
2
1
825
163
12
8
156
101
60
156
40
8
33
19
10
7
8
1
2
5
50
100
50
400
217
50
150
127
4
31
1
1
1
2
3
12
103
3
1
1
3
2
3 tasses 3 sous-coupe 
8
20
2 paires
2
50
2
46
40
4
2
6
4"&amp;"
3
5
9
5
4
120"")"),"2")</f>
        <v>2</v>
      </c>
    </row>
    <row r="152">
      <c r="A152" s="14" t="s">
        <v>311</v>
      </c>
      <c r="B152" s="14" t="s">
        <v>312</v>
      </c>
      <c r="C152" s="14">
        <v>10.0</v>
      </c>
      <c r="D152" s="22" t="str">
        <f>IFERROR(__xludf.DUMMYFUNCTION("AI(""Classement
Classement
Classement
Classement
Classement
Classement
Classement
Classement
Classement
Classement
Enveloppes
Papeterie
Papeterie
Classement
Classement
Classement
Classement
Classement
Classement
Classement
Papeterie
Papeterie
Bureau
Class"&amp;"ement
Classement
Papeterie
Papeterie
Papeterie
Papeterie
Papeterie
Classement
Classement
Classement
Classement
Classement
Classement
Enveloppes
Enveloppes"")"),"Classement")</f>
        <v>Classement</v>
      </c>
      <c r="E152" s="14" t="s">
        <v>266</v>
      </c>
      <c r="F152" s="22" t="str">
        <f>IFERROR(__xludf.DUMMYFUNCTION("AI(""70
42
2
3
14
34
10
10
8
23
8
3
1
1
7
12
29
24
24
4
17
5
4
1
1
8
198
34
9
11
8
11
24
2
31
3
4
12
10
56
21
20
160
100
6
22
21
50
47
1
56
120
2
1
75
270
900g
50g
40
100g
15
1
11
144
10
2
9
44
8
34
32
5
4
15
8
19
40
15
20
35
13
25
25
14
5
18
10
6
4
1
3
1"&amp;"
5 RAM
5 RAM (+1 VRAC)
3 RAM
4 RAM
 1 RAM + 1 VRAC
1 VRAC
1 RAM + 1 VRAC
3 RAM
1 RAM
VRAC
220
3
3
3
3
2
2
3
3
40ml
1
60
40
3
1
2
54
58
5
17
16
200
240
4
9
13
1
180
720
200
16
2
23
140
267
3 RAM
4
4
9
4
2000
21
5
1
2
51
2
10
4 RAM
7
1
3
3
70
91
157
97
92
"&amp;"94
214
34
90
98
174
554
1 596
101
67
22
7
1247
216
20
50
194
146
397
3
1
2
1
1
1
2
1
825
163
12
8
156
101
60
156
40
8
33
19
10
7
8
1
2
5
50
100
50
400
217
50
150
127
4
31
1
1
1
2
3
12
103
3
1
1
3
2
3 tasses 3 sous-coupe 
8
20
2 paires
2
50
2
46
40
4
2
6
4"&amp;"
3
5
9
5
4
120"")"),"10")</f>
        <v>10</v>
      </c>
    </row>
    <row r="153">
      <c r="A153" s="13" t="s">
        <v>313</v>
      </c>
      <c r="B153" s="14" t="s">
        <v>314</v>
      </c>
      <c r="C153" s="14">
        <v>4.0</v>
      </c>
      <c r="D153" s="22" t="str">
        <f>IFERROR(__xludf.DUMMYFUNCTION("AI(""Classement
Classement
Classement
Classement
Classement
Classement
Classement
Classement
Classement
Classement
Enveloppes
Papeterie
Papeterie
Classement
Classement
Classement
Classement
Classement
Classement
Classement
Papeterie
Papeterie
Bureau
Class"&amp;"ement
Classement
Papeterie
Papeterie
Papeterie
Papeterie
Papeterie
Classement
Classement
Classement
Classement
Classement
Classement
Enveloppes
Enveloppes"")"),"Papeterie")</f>
        <v>Papeterie</v>
      </c>
      <c r="E153" s="14" t="s">
        <v>266</v>
      </c>
      <c r="F153" s="14">
        <v>4.0</v>
      </c>
    </row>
    <row r="154">
      <c r="A154" s="13" t="s">
        <v>315</v>
      </c>
      <c r="B154" s="14" t="s">
        <v>316</v>
      </c>
      <c r="C154" s="14">
        <v>7.0</v>
      </c>
      <c r="D154" s="22" t="str">
        <f>IFERROR(__xludf.DUMMYFUNCTION("AI(""Classement
Classement
Classement
Classement
Classement
Classement
Classement
Classement
Classement
Classement
Enveloppes
Papeterie
Papeterie
Classement
Classement
Classement
Classement
Classement
Classement
Classement
Papeterie
Papeterie
Bureau
Class"&amp;"ement
Classement
Papeterie
Papeterie
Papeterie
Papeterie
Papeterie
Classement
Classement
Classement
Classement
Classement
Classement
Enveloppes
Enveloppes"")"),"Papeterie")</f>
        <v>Papeterie</v>
      </c>
      <c r="E154" s="14" t="s">
        <v>266</v>
      </c>
      <c r="F154" s="22" t="str">
        <f>IFERROR(__xludf.DUMMYFUNCTION("AI(""70
42
2
3
14
34
10
10
8
23
8
3
1
1
7
12
29
24
24
4
17
5
4
1
1
8
198
34
9
11
8
11
24
2
31
3
4
12
10
56
21
20
160
100
6
22
21
50
47
1
56
120
2
1
75
270
900g
50g
40
100g
15
1
11
144
10
2
9
44
8
34
32
5
4
15
8
19
40
15
20
35
13
25
25
14
5
18
10
6
4
1
3
1"&amp;"
5 RAM
5 RAM (+1 VRAC)
3 RAM
4 RAM
 1 RAM + 1 VRAC
1 VRAC
1 RAM + 1 VRAC
3 RAM
1 RAM
VRAC
220
3
3
3
3
2
2
3
3
40ml
1
60
40
3
1
2
54
58
5
17
16
200
240
4
9
13
1
180
720
200
16
2
23
140
267
3 RAM
4
4
9
4
2000
21
5
1
2
51
2
10
4 RAM
7
1
3
3
70
91
157
97
92
"&amp;"94
214
34
90
98
174
554
1 596
101
67
22
7
1247
216
20
50
194
146
397
3
1
2
1
1
1
2
1
825
163
12
8
156
101
60
156
40
8
33
19
10
7
8
1
2
5
50
100
50
400
217
50
150
127
4
31
1
1
1
2
3
12
103
3
1
1
3
2
3 tasses 3 sous-coupe 
8
20
2 paires
2
50
2
46
40
4
2
6
4"&amp;"
3
5
9
5
4
120"")"),"7")</f>
        <v>7</v>
      </c>
    </row>
    <row r="155">
      <c r="A155" s="13" t="s">
        <v>317</v>
      </c>
      <c r="B155" s="14" t="s">
        <v>318</v>
      </c>
      <c r="C155" s="14">
        <v>1.0</v>
      </c>
      <c r="D155" s="22" t="str">
        <f>IFERROR(__xludf.DUMMYFUNCTION("AI(""Classement
Classement
Classement
Classement
Classement
Classement
Classement
Classement
Classement
Classement
Enveloppes
Papeterie
Papeterie
Classement
Classement
Classement
Classement
Classement
Classement
Classement
Papeterie
Papeterie
Bureau
Class"&amp;"ement
Classement
Papeterie
Papeterie
Papeterie
Papeterie
Papeterie
Classement
Classement
Classement
Classement
Classement
Classement
Enveloppes
Enveloppes"")"),"Papeterie")</f>
        <v>Papeterie</v>
      </c>
      <c r="E155" s="14" t="s">
        <v>266</v>
      </c>
      <c r="F155" s="22" t="str">
        <f>IFERROR(__xludf.DUMMYFUNCTION("AI(""70
42
2
3
14
34
10
10
8
23
8
3
1
1
7
12
29
24
24
4
17
5
4
1
1
8
198
34
9
11
8
11
24
2
31
3
4
12
10
56
21
20
160
100
6
22
21
50
47
1
56
120
2
1
75
270
900g
50g
40
100g
15
1
11
144
10
2
9
44
8
34
32
5
4
15
8
19
40
15
20
35
13
25
25
14
5
18
10
6
4
1
3
1"&amp;"
5 RAM
5 RAM (+1 VRAC)
3 RAM
4 RAM
 1 RAM + 1 VRAC
1 VRAC
1 RAM + 1 VRAC
3 RAM
1 RAM
VRAC
220
3
3
3
3
2
2
3
3
40ml
1
60
40
3
1
2
54
58
5
17
16
200
240
4
9
13
1
180
720
200
16
2
23
140
267
3 RAM
4
4
9
4
2000
21
5
1
2
51
2
10
4 RAM
7
1
3
3
70
91
157
97
92
"&amp;"94
214
34
90
98
174
554
1 596
101
67
22
7
1247
216
20
50
194
146
397
3
1
2
1
1
1
2
1
825
163
12
8
156
101
60
156
40
8
33
19
10
7
8
1
2
5
50
100
50
400
217
50
150
127
4
31
1
1
1
2
3
12
103
3
1
1
3
2
3 tasses 3 sous-coupe 
8
20
2 paires
2
50
2
46
40
4
2
6
4"&amp;"
3
5
9
5
4
120"")"),"3")</f>
        <v>3</v>
      </c>
    </row>
    <row r="156">
      <c r="A156" s="14" t="s">
        <v>319</v>
      </c>
      <c r="B156" s="14" t="s">
        <v>320</v>
      </c>
      <c r="C156" s="14">
        <v>3.0</v>
      </c>
      <c r="D156" s="22" t="str">
        <f>IFERROR(__xludf.DUMMYFUNCTION("AI(""Classement
Classement
Classement
Classement
Classement
Classement
Classement
Classement
Classement
Classement
Enveloppes
Papeterie
Papeterie
Classement
Classement
Classement
Classement
Classement
Classement
Classement
Papeterie
Papeterie
Bureau
Class"&amp;"ement
Classement
Papeterie
Papeterie
Papeterie
Papeterie
Papeterie
Classement
Classement
Classement
Classement
Classement
Classement
Enveloppes
Enveloppes"")"),"Papeterie")</f>
        <v>Papeterie</v>
      </c>
      <c r="E156" s="14" t="s">
        <v>266</v>
      </c>
      <c r="F156" s="22" t="str">
        <f>IFERROR(__xludf.DUMMYFUNCTION("AI(""70
42
2
3
14
34
10
10
8
23
8
3
1
1
7
12
29
24
24
4
17
5
4
1
1
8
198
34
9
11
8
11
24
2
31
3
4
12
10
56
21
20
160
100
6
22
21
50
47
1
56
120
2
1
75
270
900g
50g
40
100g
15
1
11
144
10
2
9
44
8
34
32
5
4
15
8
19
40
15
20
35
13
25
25
14
5
18
10
6
4
1
3
1"&amp;"
5 RAM
5 RAM (+1 VRAC)
3 RAM
4 RAM
 1 RAM + 1 VRAC
1 VRAC
1 RAM + 1 VRAC
3 RAM
1 RAM
VRAC
220
3
3
3
3
2
2
3
3
40ml
1
60
40
3
1
2
54
58
5
17
16
200
240
4
9
13
1
180
720
200
16
2
23
140
267
3 RAM
4
4
9
4
2000
21
5
1
2
51
2
10
4 RAM
7
1
3
3
70
91
157
97
92
"&amp;"94
214
34
90
98
174
554
1 596
101
67
22
7
1247
216
20
50
194
146
397
3
1
2
1
1
1
2
1
825
163
12
8
156
101
60
156
40
8
33
19
10
7
8
1
2
5
50
100
50
400
217
50
150
127
4
31
1
1
1
2
3
12
103
3
1
1
3
2
3 tasses 3 sous-coupe 
8
20
2 paires
2
50
2
46
40
4
2
6
4"&amp;"
3
5
9
5
4
120"")"),"3")</f>
        <v>3</v>
      </c>
    </row>
    <row r="157">
      <c r="A157" s="13" t="s">
        <v>321</v>
      </c>
      <c r="B157" s="14" t="s">
        <v>322</v>
      </c>
      <c r="C157" s="14">
        <v>3.0</v>
      </c>
      <c r="D157" s="22" t="str">
        <f>IFERROR(__xludf.DUMMYFUNCTION("AI(""Classement
Classement
Classement
Classement
Classement
Classement
Classement
Classement
Classement
Classement
Enveloppes
Papeterie
Papeterie
Classement
Classement
Classement
Classement
Classement
Classement
Classement
Papeterie
Papeterie
Bureau
Class"&amp;"ement
Classement
Papeterie
Papeterie
Papeterie
Papeterie
Papeterie
Classement
Classement
Classement
Classement
Classement
Classement
Enveloppes
Enveloppes"")"),"Papeterie")</f>
        <v>Papeterie</v>
      </c>
      <c r="E157" s="14" t="s">
        <v>266</v>
      </c>
      <c r="F157" s="22" t="str">
        <f>IFERROR(__xludf.DUMMYFUNCTION("AI(""70
42
2
3
14
34
10
10
8
23
8
3
1
1
7
12
29
24
24
4
17
5
4
1
1
8
198
34
9
11
8
11
24
2
31
3
4
12
10
56
21
20
160
100
6
22
21
50
47
1
56
120
2
1
75
270
900g
50g
40
100g
15
1
11
144
10
2
9
44
8
34
32
5
4
15
8
19
40
15
20
35
13
25
25
14
5
18
10
6
4
1
3
1"&amp;"
5 RAM
5 RAM (+1 VRAC)
3 RAM
4 RAM
 1 RAM + 1 VRAC
1 VRAC
1 RAM + 1 VRAC
3 RAM
1 RAM
VRAC
220
3
3
3
3
2
2
3
3
40ml
1
60
40
3
1
2
54
58
5
17
16
200
240
4
9
13
1
180
720
200
16
2
23
140
267
3 RAM
4
4
9
4
2000
21
5
1
2
51
2
10
4 RAM
7
1
3
3
70
91
157
97
92
"&amp;"94
214
34
90
98
174
554
1 596
101
67
22
7
1247
216
20
50
194
146
397
3
1
2
1
1
1
2
1
825
163
12
8
156
101
60
156
40
8
33
19
10
7
8
1
2
5
50
100
50
400
217
50
150
127
4
31
1
1
1
2
3
12
103
3
1
1
3
2
3 tasses 3 sous-coupe 
8
20
2 paires
2
50
2
46
40
4
2
6
4"&amp;"
3
5
9
5
4
120"")"),"3")</f>
        <v>3</v>
      </c>
    </row>
    <row r="158">
      <c r="A158" s="13" t="s">
        <v>323</v>
      </c>
      <c r="B158" s="14" t="s">
        <v>324</v>
      </c>
      <c r="C158" s="14">
        <v>70.0</v>
      </c>
      <c r="D158" s="22" t="str">
        <f>IFERROR(__xludf.DUMMYFUNCTION("AI(""Classement
Classement
Classement
Classement
Classement
Classement
Classement
Classement
Classement
Classement
Enveloppes
Papeterie
Papeterie
Classement
Classement
Classement
Classement
Classement
Classement
Classement
Papeterie
Papeterie
Bureau
Class"&amp;"ement
Classement
Papeterie
Papeterie
Papeterie
Papeterie
Papeterie
Classement
Classement
Classement
Classement
Classement
Classement
Enveloppes
Enveloppes"")"),"Classement")</f>
        <v>Classement</v>
      </c>
      <c r="E158" s="14" t="s">
        <v>266</v>
      </c>
      <c r="F158" s="22" t="str">
        <f>IFERROR(__xludf.DUMMYFUNCTION("AI(""70
42
2
3
14
34
10
10
8
23
8
3
1
1
7
12
29
24
24
4
17
5
4
1
1
8
198
34
9
11
8
11
24
2
31
3
4
12
10
56
21
20
160
100
6
22
21
50
47
1
56
120
2
1
75
270
900g
50g
40
100g
15
1
11
144
10
2
9
44
8
34
32
5
4
15
8
19
40
15
20
35
13
25
25
14
5
18
10
6
4
1
3
1"&amp;"
5 RAM
5 RAM (+1 VRAC)
3 RAM
4 RAM
 1 RAM + 1 VRAC
1 VRAC
1 RAM + 1 VRAC
3 RAM
1 RAM
VRAC
220
3
3
3
3
2
2
3
3
40ml
1
60
40
3
1
2
54
58
5
17
16
200
240
4
9
13
1
180
720
200
16
2
23
140
267
3 RAM
4
4
9
4
2000
21
5
1
2
51
2
10
4 RAM
7
1
3
3
70
91
157
97
92
"&amp;"94
214
34
90
98
174
554
1 596
101
67
22
7
1247
216
20
50
194
146
397
3
1
2
1
1
1
2
1
825
163
12
8
156
101
60
156
40
8
33
19
10
7
8
1
2
5
50
100
50
400
217
50
150
127
4
31
1
1
1
2
3
12
103
3
1
1
3
2
3 tasses 3 sous-coupe 
8
20
2 paires
2
50
2
46
40
4
2
6
4"&amp;"
3
5
9
5
4
120"")"),"70")</f>
        <v>70</v>
      </c>
    </row>
    <row r="159">
      <c r="A159" s="13" t="s">
        <v>325</v>
      </c>
      <c r="B159" s="29" t="s">
        <v>326</v>
      </c>
      <c r="C159" s="30">
        <v>91.0</v>
      </c>
      <c r="D159" s="22" t="str">
        <f>IFERROR(__xludf.DUMMYFUNCTION("AI(""Classement
Classement
Classement
Classement
Classement
Classement
Classement
Classement
Classement
Classement
Enveloppes
Papeterie
Papeterie
Classement
Classement
Classement
Classement
Classement
Classement
Classement
Papeterie
Papeterie
Bureau
Class"&amp;"ement
Classement
Papeterie
Papeterie
Papeterie
Papeterie
Papeterie
Classement
Classement
Classement
Classement
Classement
Classement
Enveloppes
Enveloppes"")"),"Classement")</f>
        <v>Classement</v>
      </c>
      <c r="E159" s="14" t="s">
        <v>266</v>
      </c>
      <c r="F159" s="22" t="str">
        <f>IFERROR(__xludf.DUMMYFUNCTION("AI(""70
42
2
3
14
34
10
10
8
23
8
3
1
1
7
12
29
24
24
4
17
5
4
1
1
8
198
34
9
11
8
11
24
2
31
3
4
12
10
56
21
20
160
100
6
22
21
50
47
1
56
120
2
1
75
270
900g
50g
40
100g
15
1
11
144
10
2
9
44
8
34
32
5
4
15
8
19
40
15
20
35
13
25
25
14
5
18
10
6
4
1
3
1"&amp;"
5 RAM
5 RAM (+1 VRAC)
3 RAM
4 RAM
 1 RAM + 1 VRAC
1 VRAC
1 RAM + 1 VRAC
3 RAM
1 RAM
VRAC
220
3
3
3
3
2
2
3
3
40ml
1
60
40
3
1
2
54
58
5
17
16
200
240
4
9
13
1
180
720
200
16
2
23
140
267
3 RAM
4
4
9
4
2000
21
5
1
2
51
2
10
4 RAM
7
1
3
3
70
91
157
97
92
"&amp;"94
214
34
90
98
174
554
1 596
101
67
22
7
1247
216
20
50
194
146
397
3
1
2
1
1
1
2
1
825
163
12
8
156
101
60
156
40
8
33
19
10
7
8
1
2
5
50
100
50
400
217
50
150
127
4
31
1
1
1
2
3
12
103
3
1
1
3
2
3 tasses 3 sous-coupe 
8
20
2 paires
2
50
2
46
40
4
2
6
4"&amp;"
3
5
9
5
4
120"")"),"91")</f>
        <v>91</v>
      </c>
    </row>
    <row r="160">
      <c r="A160" s="13" t="s">
        <v>327</v>
      </c>
      <c r="B160" s="29" t="s">
        <v>328</v>
      </c>
      <c r="C160" s="30">
        <v>157.0</v>
      </c>
      <c r="D160" s="22" t="str">
        <f>IFERROR(__xludf.DUMMYFUNCTION("AI(""Classement
Classement
Classement
Classement
Classement
Classement
Classement
Classement
Classement
Classement
Enveloppes
Papeterie
Papeterie
Classement
Classement
Classement
Classement
Classement
Classement
Classement
Papeterie
Papeterie
Bureau
Class"&amp;"ement
Classement
Papeterie
Papeterie
Papeterie
Papeterie
Papeterie
Classement
Classement
Classement
Classement
Classement
Classement
Enveloppes
Enveloppes"")"),"Classement")</f>
        <v>Classement</v>
      </c>
      <c r="E160" s="14" t="s">
        <v>266</v>
      </c>
      <c r="F160" s="22" t="str">
        <f>IFERROR(__xludf.DUMMYFUNCTION("AI(""70
42
2
3
14
34
10
10
8
23
8
3
1
1
7
12
29
24
24
4
17
5
4
1
1
8
198
34
9
11
8
11
24
2
31
3
4
12
10
56
21
20
160
100
6
22
21
50
47
1
56
120
2
1
75
270
900g
50g
40
100g
15
1
11
144
10
2
9
44
8
34
32
5
4
15
8
19
40
15
20
35
13
25
25
14
5
18
10
6
4
1
3
1"&amp;"
5 RAM
5 RAM (+1 VRAC)
3 RAM
4 RAM
 1 RAM + 1 VRAC
1 VRAC
1 RAM + 1 VRAC
3 RAM
1 RAM
VRAC
220
3
3
3
3
2
2
3
3
40ml
1
60
40
3
1
2
54
58
5
17
16
200
240
4
9
13
1
180
720
200
16
2
23
140
267
3 RAM
4
4
9
4
2000
21
5
1
2
51
2
10
4 RAM
7
1
3
3
70
91
157
97
92
"&amp;"94
214
34
90
98
174
554
1 596
101
67
22
7
1247
216
20
50
194
146
397
3
1
2
1
1
1
2
1
825
163
12
8
156
101
60
156
40
8
33
19
10
7
8
1
2
5
50
100
50
400
217
50
150
127
4
31
1
1
1
2
3
12
103
3
1
1
3
2
3 tasses 3 sous-coupe 
8
20
2 paires
2
50
2
46
40
4
2
6
4"&amp;"
3
5
9
5
4
120"")"),"157")</f>
        <v>157</v>
      </c>
    </row>
    <row r="161">
      <c r="A161" s="13" t="s">
        <v>329</v>
      </c>
      <c r="B161" s="29" t="s">
        <v>330</v>
      </c>
      <c r="C161" s="30">
        <v>97.0</v>
      </c>
      <c r="D161" s="22" t="str">
        <f>IFERROR(__xludf.DUMMYFUNCTION("AI(""Classement
Classement
Classement
Classement
Classement
Classement
Classement
Classement
Classement
Classement
Enveloppes
Papeterie
Papeterie
Classement
Classement
Classement
Classement
Classement
Classement
Classement
Papeterie
Papeterie
Bureau
Class"&amp;"ement
Classement
Papeterie
Papeterie
Papeterie
Papeterie
Papeterie
Classement
Classement
Classement
Classement
Classement
Classement
Enveloppes
Enveloppes"")"),"Classement")</f>
        <v>Classement</v>
      </c>
      <c r="E161" s="14" t="s">
        <v>266</v>
      </c>
      <c r="F161" s="22" t="str">
        <f>IFERROR(__xludf.DUMMYFUNCTION("AI(""70
42
2
3
14
34
10
10
8
23
8
3
1
1
7
12
29
24
24
4
17
5
4
1
1
8
198
34
9
11
8
11
24
2
31
3
4
12
10
56
21
20
160
100
6
22
21
50
47
1
56
120
2
1
75
270
900g
50g
40
100g
15
1
11
144
10
2
9
44
8
34
32
5
4
15
8
19
40
15
20
35
13
25
25
14
5
18
10
6
4
1
3
1"&amp;"
5 RAM
5 RAM (+1 VRAC)
3 RAM
4 RAM
 1 RAM + 1 VRAC
1 VRAC
1 RAM + 1 VRAC
3 RAM
1 RAM
VRAC
220
3
3
3
3
2
2
3
3
40ml
1
60
40
3
1
2
54
58
5
17
16
200
240
4
9
13
1
180
720
200
16
2
23
140
267
3 RAM
4
4
9
4
2000
21
5
1
2
51
2
10
4 RAM
7
1
3
3
70
91
157
97
92
"&amp;"94
214
34
90
98
174
554
1 596
101
67
22
7
1247
216
20
50
194
146
397
3
1
2
1
1
1
2
1
825
163
12
8
156
101
60
156
40
8
33
19
10
7
8
1
2
5
50
100
50
400
217
50
150
127
4
31
1
1
1
2
3
12
103
3
1
1
3
2
3 tasses 3 sous-coupe 
8
20
2 paires
2
50
2
46
40
4
2
6
4"&amp;"
3
5
9
5
4
120"")"),"97")</f>
        <v>97</v>
      </c>
    </row>
    <row r="162">
      <c r="A162" s="29" t="s">
        <v>331</v>
      </c>
      <c r="B162" s="29" t="s">
        <v>332</v>
      </c>
      <c r="C162" s="30">
        <v>92.0</v>
      </c>
      <c r="D162" s="22" t="str">
        <f>IFERROR(__xludf.DUMMYFUNCTION("AI(""Classement
Classement
Classement
Classement
Classement
Classement
Classement
Classement
Classement
Classement
Enveloppes
Papeterie
Papeterie
Classement
Classement
Classement
Classement
Classement
Classement
Classement
Papeterie
Papeterie
Bureau
Class"&amp;"ement
Classement
Papeterie
Papeterie
Papeterie
Papeterie
Papeterie
Classement
Classement
Classement
Classement
Classement
Classement
Enveloppes
Enveloppes"")"),"Classement")</f>
        <v>Classement</v>
      </c>
      <c r="E162" s="14" t="s">
        <v>266</v>
      </c>
      <c r="F162" s="22" t="str">
        <f>IFERROR(__xludf.DUMMYFUNCTION("AI(""70
42
2
3
14
34
10
10
8
23
8
3
1
1
7
12
29
24
24
4
17
5
4
1
1
8
198
34
9
11
8
11
24
2
31
3
4
12
10
56
21
20
160
100
6
22
21
50
47
1
56
120
2
1
75
270
900g
50g
40
100g
15
1
11
144
10
2
9
44
8
34
32
5
4
15
8
19
40
15
20
35
13
25
25
14
5
18
10
6
4
1
3
1"&amp;"
5 RAM
5 RAM (+1 VRAC)
3 RAM
4 RAM
 1 RAM + 1 VRAC
1 VRAC
1 RAM + 1 VRAC
3 RAM
1 RAM
VRAC
220
3
3
3
3
2
2
3
3
40ml
1
60
40
3
1
2
54
58
5
17
16
200
240
4
9
13
1
180
720
200
16
2
23
140
267
3 RAM
4
4
9
4
2000
21
5
1
2
51
2
10
4 RAM
7
1
3
3
70
91
157
97
92
"&amp;"94
214
34
90
98
174
554
1 596
101
67
22
7
1247
216
20
50
194
146
397
3
1
2
1
1
1
2
1
825
163
12
8
156
101
60
156
40
8
33
19
10
7
8
1
2
5
50
100
50
400
217
50
150
127
4
31
1
1
1
2
3
12
103
3
1
1
3
2
3 tasses 3 sous-coupe 
8
20
2 paires
2
50
2
46
40
4
2
6
4"&amp;"
3
5
9
5
4
120"")"),"91")</f>
        <v>91</v>
      </c>
    </row>
    <row r="163">
      <c r="A163" s="13" t="s">
        <v>333</v>
      </c>
      <c r="B163" s="29" t="s">
        <v>334</v>
      </c>
      <c r="C163" s="30">
        <v>94.0</v>
      </c>
      <c r="D163" s="22" t="str">
        <f>IFERROR(__xludf.DUMMYFUNCTION("AI(""Classement
Classement
Classement
Classement
Classement
Classement
Classement
Classement
Classement
Classement
Enveloppes
Papeterie
Papeterie
Classement
Classement
Classement
Classement
Classement
Classement
Classement
Papeterie
Papeterie
Bureau
Class"&amp;"ement
Classement
Papeterie
Papeterie
Papeterie
Papeterie
Papeterie
Classement
Classement
Classement
Classement
Classement
Classement
Enveloppes
Enveloppes"")"),"Classement")</f>
        <v>Classement</v>
      </c>
      <c r="E163" s="14" t="s">
        <v>266</v>
      </c>
      <c r="F163" s="22" t="str">
        <f>IFERROR(__xludf.DUMMYFUNCTION("AI(""70
42
2
3
14
34
10
10
8
23
8
3
1
1
7
12
29
24
24
4
17
5
4
1
1
8
198
34
9
11
8
11
24
2
31
3
4
12
10
56
21
20
160
100
6
22
21
50
47
1
56
120
2
1
75
270
900g
50g
40
100g
15
1
11
144
10
2
9
44
8
34
32
5
4
15
8
19
40
15
20
35
13
25
25
14
5
18
10
6
4
1
3
1"&amp;"
5 RAM
5 RAM (+1 VRAC)
3 RAM
4 RAM
 1 RAM + 1 VRAC
1 VRAC
1 RAM + 1 VRAC
3 RAM
1 RAM
VRAC
220
3
3
3
3
2
2
3
3
40ml
1
60
40
3
1
2
54
58
5
17
16
200
240
4
9
13
1
180
720
200
16
2
23
140
267
3 RAM
4
4
9
4
2000
21
5
1
2
51
2
10
4 RAM
7
1
3
3
70
91
157
97
92
"&amp;"94
214
34
90
98
174
554
1 596
101
67
22
7
1247
216
20
50
194
146
397
3
1
2
1
1
1
2
1
825
163
12
8
156
101
60
156
40
8
33
19
10
7
8
1
2
5
50
100
50
400
217
50
150
127
4
31
1
1
1
2
3
12
103
3
1
1
3
2
3 tasses 3 sous-coupe 
8
20
2 paires
2
50
2
46
40
4
2
6
4"&amp;"
3
5
9
5
4
120"")"),"94")</f>
        <v>94</v>
      </c>
    </row>
    <row r="164">
      <c r="A164" s="13" t="s">
        <v>335</v>
      </c>
      <c r="B164" s="14" t="s">
        <v>336</v>
      </c>
      <c r="C164" s="14">
        <v>214.0</v>
      </c>
      <c r="D164" s="14" t="s">
        <v>257</v>
      </c>
      <c r="E164" s="14" t="s">
        <v>266</v>
      </c>
      <c r="F164" s="22" t="str">
        <f>IFERROR(__xludf.DUMMYFUNCTION("AI(""70
42
2
3
14
34
10
10
8
23
8
3
1
1
7
12
29
24
24
4
17
5
4
1
1
8
198
34
9
11
8
11
24
2
31
3
4
12
10
56
21
20
160
100
6
22
21
50
47
1
56
120
2
1
75
270
900g
50g
40
100g
15
1
11
144
10
2
9
44
8
34
32
5
4
15
8
19
40
15
20
35
13
25
25
14
5
18
10
6
4
1
3
1"&amp;"
5 RAM
5 RAM (+1 VRAC)
3 RAM
4 RAM
 1 RAM + 1 VRAC
1 VRAC
1 RAM + 1 VRAC
3 RAM
1 RAM
VRAC
220
3
3
3
3
2
2
3
3
40ml
1
60
40
3
1
2
54
58
5
17
16
200
240
4
9
13
1
180
720
200
16
2
23
140
267
3 RAM
4
4
9
4
2000
21
5
1
2
51
2
10
4 RAM
7
1
3
3
70
91
157
97
92
"&amp;"94
214
34
90
98
174
554
1 596
101
67
22
7
1247
216
20
50
194
146
397
3
1
2
1
1
1
2
1
825
163
12
8
156
101
60
156
40
8
33
19
10
7
8
1
2
5
50
100
50
400
217
50
150
127
4
31
1
1
1
2
3
12
103
3
1
1
3
2
3 tasses 3 sous-coupe 
8
20
2 paires
2
50
2
46
40
4
2
6
4"&amp;"
3
5
9
5
4
120"")"),"214")</f>
        <v>214</v>
      </c>
    </row>
    <row r="165">
      <c r="A165" s="13" t="s">
        <v>337</v>
      </c>
      <c r="B165" s="14" t="s">
        <v>338</v>
      </c>
      <c r="C165" s="14">
        <v>34.0</v>
      </c>
      <c r="D165" s="14" t="s">
        <v>257</v>
      </c>
      <c r="E165" s="14" t="s">
        <v>266</v>
      </c>
      <c r="F165" s="22" t="str">
        <f>IFERROR(__xludf.DUMMYFUNCTION("AI(""70
42
2
3
14
34
10
10
8
23
8
3
1
1
7
12
29
24
24
4
17
5
4
1
1
8
198
34
9
11
8
11
24
2
31
3
4
12
10
56
21
20
160
100
6
22
21
50
47
1
56
120
2
1
75
270
900g
50g
40
100g
15
1
11
144
10
2
9
44
8
34
32
5
4
15
8
19
40
15
20
35
13
25
25
14
5
18
10
6
4
1
3
1"&amp;"
5 RAM
5 RAM (+1 VRAC)
3 RAM
4 RAM
 1 RAM + 1 VRAC
1 VRAC
1 RAM + 1 VRAC
3 RAM
1 RAM
VRAC
220
3
3
3
3
2
2
3
3
40ml
1
60
40
3
1
2
54
58
5
17
16
200
240
4
9
13
1
180
720
200
16
2
23
140
267
3 RAM
4
4
9
4
2000
21
5
1
2
51
2
10
4 RAM
7
1
3
3
70
91
157
97
92
"&amp;"94
214
34
90
98
174
554
1 596
101
67
22
7
1247
216
20
50
194
146
397
3
1
2
1
1
1
2
1
825
163
12
8
156
101
60
156
40
8
33
19
10
7
8
1
2
5
50
100
50
400
217
50
150
127
4
31
1
1
1
2
3
12
103
3
1
1
3
2
3 tasses 3 sous-coupe 
8
20
2 paires
2
50
2
46
40
4
2
6
4"&amp;"
3
5
9
5
4
120"")"),"34")</f>
        <v>34</v>
      </c>
    </row>
    <row r="166">
      <c r="A166" s="31" t="s">
        <v>339</v>
      </c>
      <c r="B166" s="14" t="s">
        <v>340</v>
      </c>
      <c r="C166" s="14">
        <v>90.0</v>
      </c>
      <c r="D166" s="14" t="s">
        <v>257</v>
      </c>
      <c r="E166" s="14" t="s">
        <v>341</v>
      </c>
      <c r="F166" s="22" t="str">
        <f>IFERROR(__xludf.DUMMYFUNCTION("AI(""70
42
2
3
14
34
10
10
8
23
8
3
1
1
7
12
29
24
24
4
17
5
4
1
1
8
198
34
9
11
8
11
24
2
31
3
4
12
10
56
21
20
160
100
6
22
21
50
47
1
56
120
2
1
75
270
900g
50g
40
100g
15
1
11
144
10
2
9
44
8
34
32
5
4
15
8
19
40
15
20
35
13
25
25
14
5
18
10
6
4
1
3
1"&amp;"
5 RAM
5 RAM (+1 VRAC)
3 RAM
4 RAM
 1 RAM + 1 VRAC
1 VRAC
1 RAM + 1 VRAC
3 RAM
1 RAM
VRAC
220
3
3
3
3
2
2
3
3
40ml
1
60
40
3
1
2
54
58
5
17
16
200
240
4
9
13
1
180
720
200
16
2
23
140
267
3 RAM
4
4
9
4
2000
21
5
1
2
51
2
10
4 RAM
7
1
3
3
70
91
157
97
92
"&amp;"94
214
34
90
98
174
554
1 596
101
67
22
7
1247
216
20
50
194
146
397
3
1
2
1
1
1
2
1
825
163
12
8
156
101
60
156
40
8
33
19
10
7
8
1
2
5
50
100
50
400
217
50
150
127
4
31
1
1
1
2
3
12
103
3
1
1
3
2
3 tasses 3 sous-coupe 
8
20
2 paires
2
50
2
46
40
4
2
6
4"&amp;"
3
5
9
5
4
120"")"),"90")</f>
        <v>90</v>
      </c>
    </row>
    <row r="167">
      <c r="A167" s="31" t="s">
        <v>342</v>
      </c>
      <c r="B167" s="14" t="s">
        <v>343</v>
      </c>
      <c r="C167" s="14">
        <v>98.0</v>
      </c>
      <c r="D167" s="14" t="s">
        <v>257</v>
      </c>
      <c r="E167" s="14" t="s">
        <v>341</v>
      </c>
      <c r="F167" s="22" t="str">
        <f>IFERROR(__xludf.DUMMYFUNCTION("AI(""70
42
2
3
14
34
10
10
8
23
8
3
1
1
7
12
29
24
24
4
17
5
4
1
1
8
198
34
9
11
8
11
24
2
31
3
4
12
10
56
21
20
160
100
6
22
21
50
47
1
56
120
2
1
75
270
900g
50g
40
100g
15
1
11
144
10
2
9
44
8
34
32
5
4
15
8
19
40
15
20
35
13
25
25
14
5
18
10
6
4
1
3
1"&amp;"
5 RAM
5 RAM (+1 VRAC)
3 RAM
4 RAM
 1 RAM + 1 VRAC
1 VRAC
1 RAM + 1 VRAC
3 RAM
1 RAM
VRAC
220
3
3
3
3
2
2
3
3
40ml
1
60
40
3
1
2
54
58
5
17
16
200
240
4
9
13
1
180
720
200
16
2
23
140
267
3 RAM
4
4
9
4
2000
21
5
1
2
51
2
10
4 RAM
7
1
3
3
70
91
157
97
92
"&amp;"94
214
34
90
98
174
554
1 596
101
67
22
7
1247
216
20
50
194
146
397
3
1
2
1
1
1
2
1
825
163
12
8
156
101
60
156
40
8
33
19
10
7
8
1
2
5
50
100
50
400
217
50
150
127
4
31
1
1
1
2
3
12
103
3
1
1
3
2
3 tasses 3 sous-coupe 
8
20
2 paires
2
50
2
46
40
4
2
6
4"&amp;"
3
5
9
5
4
120"")"),"98")</f>
        <v>98</v>
      </c>
    </row>
    <row r="168">
      <c r="A168" s="31" t="s">
        <v>344</v>
      </c>
      <c r="B168" s="14" t="s">
        <v>345</v>
      </c>
      <c r="C168" s="14">
        <v>174.0</v>
      </c>
      <c r="D168" s="14" t="s">
        <v>257</v>
      </c>
      <c r="E168" s="14" t="s">
        <v>341</v>
      </c>
      <c r="F168" s="22" t="str">
        <f>IFERROR(__xludf.DUMMYFUNCTION("AI(""70
42
2
3
14
34
10
10
8
23
8
3
1
1
7
12
29
24
24
4
17
5
4
1
1
8
198
34
9
11
8
11
24
2
31
3
4
12
10
56
21
20
160
100
6
22
21
50
47
1
56
120
2
1
75
270
900g
50g
40
100g
15
1
11
144
10
2
9
44
8
34
32
5
4
15
8
19
40
15
20
35
13
25
25
14
5
18
10
6
4
1
3
1"&amp;"
5 RAM
5 RAM (+1 VRAC)
3 RAM
4 RAM
 1 RAM + 1 VRAC
1 VRAC
1 RAM + 1 VRAC
3 RAM
1 RAM
VRAC
220
3
3
3
3
2
2
3
3
40ml
1
60
40
3
1
2
54
58
5
17
16
200
240
4
9
13
1
180
720
200
16
2
23
140
267
3 RAM
4
4
9
4
2000
21
5
1
2
51
2
10
4 RAM
7
1
3
3
70
91
157
97
92
"&amp;"94
214
34
90
98
174
554
1 596
101
67
22
7
1247
216
20
50
194
146
397
3
1
2
1
1
1
2
1
825
163
12
8
156
101
60
156
40
8
33
19
10
7
8
1
2
5
50
100
50
400
217
50
150
127
4
31
1
1
1
2
3
12
103
3
1
1
3
2
3 tasses 3 sous-coupe 
8
20
2 paires
2
50
2
46
40
4
2
6
4"&amp;"
3
5
9
5
4
120"")"),"174")</f>
        <v>174</v>
      </c>
    </row>
    <row r="169">
      <c r="A169" s="32" t="s">
        <v>346</v>
      </c>
      <c r="B169" s="14" t="s">
        <v>347</v>
      </c>
      <c r="C169" s="14">
        <v>554.0</v>
      </c>
      <c r="D169" s="14" t="s">
        <v>257</v>
      </c>
      <c r="E169" s="14" t="s">
        <v>341</v>
      </c>
      <c r="F169" s="22" t="str">
        <f>IFERROR(__xludf.DUMMYFUNCTION("AI(""70
42
2
3
14
34
10
10
8
23
8
3
1
1
7
12
29
24
24
4
17
5
4
1
1
8
198
34
9
11
8
11
24
2
31
3
4
12
10
56
21
20
160
100
6
22
21
50
47
1
56
120
2
1
75
270
900g
50g
40
100g
15
1
11
144
10
2
9
44
8
34
32
5
4
15
8
19
40
15
20
35
13
25
25
14
5
18
10
6
4
1
3
1"&amp;"
5 RAM
5 RAM (+1 VRAC)
3 RAM
4 RAM
 1 RAM + 1 VRAC
1 VRAC
1 RAM + 1 VRAC
3 RAM
1 RAM
VRAC
220
3
3
3
3
2
2
3
3
40ml
1
60
40
3
1
2
54
58
5
17
16
200
240
4
9
13
1
180
720
200
16
2
23
140
267
3 RAM
4
4
9
4
2000
21
5
1
2
51
2
10
4 RAM
7
1
3
3
70
91
157
97
92
"&amp;"94
214
34
90
98
174
554
1 596
101
67
22
7
1247
216
20
50
194
146
397
3
1
2
1
1
1
2
1
825
163
12
8
156
101
60
156
40
8
33
19
10
7
8
1
2
5
50
100
50
400
217
50
150
127
4
31
1
1
1
2
3
12
103
3
1
1
3
2
3 tasses 3 sous-coupe 
8
20
2 paires
2
50
2
46
40
4
2
6
4"&amp;"
3
5
9
5
4
120"")"),"554")</f>
        <v>554</v>
      </c>
    </row>
    <row r="170">
      <c r="A170" s="31" t="s">
        <v>348</v>
      </c>
      <c r="B170" s="14" t="s">
        <v>349</v>
      </c>
      <c r="C170" s="33" t="s">
        <v>350</v>
      </c>
      <c r="D170" s="14" t="s">
        <v>257</v>
      </c>
      <c r="E170" s="14" t="s">
        <v>341</v>
      </c>
      <c r="F170" s="22" t="str">
        <f>IFERROR(__xludf.DUMMYFUNCTION("AI(""70
42
2
3
14
34
10
10
8
23
8
3
1
1
7
12
29
24
24
4
17
5
4
1
1
8
198
34
9
11
8
11
24
2
31
3
4
12
10
56
21
20
160
100
6
22
21
50
47
1
56
120
2
1
75
270
900g
50g
40
100g
15
1
11
144
10
2
9
44
8
34
32
5
4
15
8
19
40
15
20
35
13
25
25
14
5
18
10
6
4
1
3
1"&amp;"
5 RAM
5 RAM (+1 VRAC)
3 RAM
4 RAM
 1 RAM + 1 VRAC
1 VRAC
1 RAM + 1 VRAC
3 RAM
1 RAM
VRAC
220
3
3
3
3
2
2
3
3
40ml
1
60
40
3
1
2
54
58
5
17
16
200
240
4
9
13
1
180
720
200
16
2
23
140
267
3 RAM
4
4
9
4
2000
21
5
1
2
51
2
10
4 RAM
7
1
3
3
70
91
157
97
92
"&amp;"94
214
34
90
98
174
554
1 596
101
67
22
7
1247
216
20
50
194
146
397
3
1
2
1
1
1
2
1
825
163
12
8
156
101
60
156
40
8
33
19
10
7
8
1
2
5
50
100
50
400
217
50
150
127
4
31
1
1
1
2
3
12
103
3
1
1
3
2
3 tasses 3 sous-coupe 
8
20
2 paires
2
50
2
46
40
4
2
6
4"&amp;"
3
5
9
5
4
120"")"),"1 596")</f>
        <v>1 596</v>
      </c>
    </row>
    <row r="171">
      <c r="A171" s="31" t="s">
        <v>351</v>
      </c>
      <c r="B171" s="14" t="s">
        <v>352</v>
      </c>
      <c r="C171" s="14">
        <v>101.0</v>
      </c>
      <c r="D171" s="14" t="s">
        <v>257</v>
      </c>
      <c r="E171" s="14" t="s">
        <v>341</v>
      </c>
      <c r="F171" s="22" t="str">
        <f>IFERROR(__xludf.DUMMYFUNCTION("AI(""70
42
2
3
14
34
10
10
8
23
8
3
1
1
7
12
29
24
24
4
17
5
4
1
1
8
198
34
9
11
8
11
24
2
31
3
4
12
10
56
21
20
160
100
6
22
21
50
47
1
56
120
2
1
75
270
900g
50g
40
100g
15
1
11
144
10
2
9
44
8
34
32
5
4
15
8
19
40
15
20
35
13
25
25
14
5
18
10
6
4
1
3
1"&amp;"
5 RAM
5 RAM (+1 VRAC)
3 RAM
4 RAM
 1 RAM + 1 VRAC
1 VRAC
1 RAM + 1 VRAC
3 RAM
1 RAM
VRAC
220
3
3
3
3
2
2
3
3
40ml
1
60
40
3
1
2
54
58
5
17
16
200
240
4
9
13
1
180
720
200
16
2
23
140
267
3 RAM
4
4
9
4
2000
21
5
1
2
51
2
10
4 RAM
7
1
3
3
70
91
157
97
92
"&amp;"94
214
34
90
98
174
554
1 596
101
67
22
7
1247
216
20
50
194
146
397
3
1
2
1
1
1
2
1
825
163
12
8
156
101
60
156
40
8
33
19
10
7
8
1
2
5
50
100
50
400
217
50
150
127
4
31
1
1
1
2
3
12
103
3
1
1
3
2
3 tasses 3 sous-coupe 
8
20
2 paires
2
50
2
46
40
4
2
6
4"&amp;"
3
5
9
5
4
120"")"),"101")</f>
        <v>101</v>
      </c>
    </row>
    <row r="172">
      <c r="A172" s="32" t="s">
        <v>353</v>
      </c>
      <c r="B172" s="14" t="s">
        <v>354</v>
      </c>
      <c r="C172" s="14">
        <v>67.0</v>
      </c>
      <c r="D172" s="14" t="s">
        <v>257</v>
      </c>
      <c r="E172" s="14" t="s">
        <v>341</v>
      </c>
      <c r="F172" s="22" t="str">
        <f>IFERROR(__xludf.DUMMYFUNCTION("AI(""70
42
2
3
14
34
10
10
8
23
8
3
1
1
7
12
29
24
24
4
17
5
4
1
1
8
198
34
9
11
8
11
24
2
31
3
4
12
10
56
21
20
160
100
6
22
21
50
47
1
56
120
2
1
75
270
900g
50g
40
100g
15
1
11
144
10
2
9
44
8
34
32
5
4
15
8
19
40
15
20
35
13
25
25
14
5
18
10
6
4
1
3
1"&amp;"
5 RAM
5 RAM (+1 VRAC)
3 RAM
4 RAM
 1 RAM + 1 VRAC
1 VRAC
1 RAM + 1 VRAC
3 RAM
1 RAM
VRAC
220
3
3
3
3
2
2
3
3
40ml
1
60
40
3
1
2
54
58
5
17
16
200
240
4
9
13
1
180
720
200
16
2
23
140
267
3 RAM
4
4
9
4
2000
21
5
1
2
51
2
10
4 RAM
7
1
3
3
70
91
157
97
92
"&amp;"94
214
34
90
98
174
554
1 596
101
67
22
7
1247
216
20
50
194
146
397
3
1
2
1
1
1
2
1
825
163
12
8
156
101
60
156
40
8
33
19
10
7
8
1
2
5
50
100
50
400
217
50
150
127
4
31
1
1
1
2
3
12
103
3
1
1
3
2
3 tasses 3 sous-coupe 
8
20
2 paires
2
50
2
46
40
4
2
6
4"&amp;"
3
5
9
5
4
120"")"),"67")</f>
        <v>67</v>
      </c>
    </row>
    <row r="173">
      <c r="A173" s="31" t="s">
        <v>355</v>
      </c>
      <c r="B173" s="14" t="s">
        <v>356</v>
      </c>
      <c r="C173" s="14">
        <v>22.0</v>
      </c>
      <c r="D173" s="14" t="s">
        <v>257</v>
      </c>
      <c r="E173" s="14" t="s">
        <v>341</v>
      </c>
      <c r="F173" s="22" t="str">
        <f>IFERROR(__xludf.DUMMYFUNCTION("AI(""70
42
2
3
14
34
10
10
8
23
8
3
1
1
7
12
29
24
24
4
17
5
4
1
1
8
198
34
9
11
8
11
24
2
31
3
4
12
10
56
21
20
160
100
6
22
21
50
47
1
56
120
2
1
75
270
900g
50g
40
100g
15
1
11
144
10
2
9
44
8
34
32
5
4
15
8
19
40
15
20
35
13
25
25
14
5
18
10
6
4
1
3
1"&amp;"
5 RAM
5 RAM (+1 VRAC)
3 RAM
4 RAM
 1 RAM + 1 VRAC
1 VRAC
1 RAM + 1 VRAC
3 RAM
1 RAM
VRAC
220
3
3
3
3
2
2
3
3
40ml
1
60
40
3
1
2
54
58
5
17
16
200
240
4
9
13
1
180
720
200
16
2
23
140
267
3 RAM
4
4
9
4
2000
21
5
1
2
51
2
10
4 RAM
7
1
3
3
70
91
157
97
92
"&amp;"94
214
34
90
98
174
554
1 596
101
67
22
7
1247
216
20
50
194
146
397
3
1
2
1
1
1
2
1
825
163
12
8
156
101
60
156
40
8
33
19
10
7
8
1
2
5
50
100
50
400
217
50
150
127
4
31
1
1
1
2
3
12
103
3
1
1
3
2
3 tasses 3 sous-coupe 
8
20
2 paires
2
50
2
46
40
4
2
6
4"&amp;"
3
5
9
5
4
120"")"),"22")</f>
        <v>22</v>
      </c>
    </row>
    <row r="174">
      <c r="A174" s="32" t="s">
        <v>357</v>
      </c>
      <c r="B174" s="14" t="s">
        <v>358</v>
      </c>
      <c r="C174" s="14">
        <v>7.0</v>
      </c>
      <c r="D174" s="14" t="s">
        <v>359</v>
      </c>
      <c r="E174" s="14" t="s">
        <v>341</v>
      </c>
      <c r="F174" s="22" t="str">
        <f>IFERROR(__xludf.DUMMYFUNCTION("AI(""70
42
2
3
14
34
10
10
8
23
8
3
1
1
7
12
29
24
24
4
17
5
4
1
1
8
198
34
9
11
8
11
24
2
31
3
4
12
10
56
21
20
160
100
6
22
21
50
47
1
56
120
2
1
75
270
900g
50g
40
100g
15
1
11
144
10
2
9
44
8
34
32
5
4
15
8
19
40
15
20
35
13
25
25
14
5
18
10
6
4
1
3
1"&amp;"
5 RAM
5 RAM (+1 VRAC)
3 RAM
4 RAM
 1 RAM + 1 VRAC
1 VRAC
1 RAM + 1 VRAC
3 RAM
1 RAM
VRAC
220
3
3
3
3
2
2
3
3
40ml
1
60
40
3
1
2
54
58
5
17
16
200
240
4
9
13
1
180
720
200
16
2
23
140
267
3 RAM
4
4
9
4
2000
21
5
1
2
51
2
10
4 RAM
7
1
3
3
70
91
157
97
92
"&amp;"94
214
34
90
98
174
554
1 596
101
67
22
7
1247
216
20
50
194
146
397
3
1
2
1
1
1
2
1
825
163
12
8
156
101
60
156
40
8
33
19
10
7
8
1
2
5
50
100
50
400
217
50
150
127
4
31
1
1
1
2
3
12
103
3
1
1
3
2
3 tasses 3 sous-coupe 
8
20
2 paires
2
50
2
46
40
4
2
6
4"&amp;"
3
5
9
5
4
120"")"),"7")</f>
        <v>7</v>
      </c>
    </row>
    <row r="175">
      <c r="A175" s="32" t="s">
        <v>360</v>
      </c>
      <c r="B175" s="14" t="s">
        <v>361</v>
      </c>
      <c r="C175" s="14">
        <v>1247.0</v>
      </c>
      <c r="D175" s="14" t="s">
        <v>257</v>
      </c>
      <c r="E175" s="14" t="s">
        <v>341</v>
      </c>
      <c r="F175" s="22" t="str">
        <f>IFERROR(__xludf.DUMMYFUNCTION("AI(""70
42
2
3
14
34
10
10
8
23
8
3
1
1
7
12
29
24
24
4
17
5
4
1
1
8
198
34
9
11
8
11
24
2
31
3
4
12
10
56
21
20
160
100
6
22
21
50
47
1
56
120
2
1
75
270
900g
50g
40
100g
15
1
11
144
10
2
9
44
8
34
32
5
4
15
8
19
40
15
20
35
13
25
25
14
5
18
10
6
4
1
3
1"&amp;"
5 RAM
5 RAM (+1 VRAC)
3 RAM
4 RAM
 1 RAM + 1 VRAC
1 VRAC
1 RAM + 1 VRAC
3 RAM
1 RAM
VRAC
220
3
3
3
3
2
2
3
3
40ml
1
60
40
3
1
2
54
58
5
17
16
200
240
4
9
13
1
180
720
200
16
2
23
140
267
3 RAM
4
4
9
4
2000
21
5
1
2
51
2
10
4 RAM
7
1
3
3
70
91
157
97
92
"&amp;"94
214
34
90
98
174
554
1 596
101
67
22
7
1247
216
20
50
194
146
397
3
1
2
1
1
1
2
1
825
163
12
8
156
101
60
156
40
8
33
19
10
7
8
1
2
5
50
100
50
400
217
50
150
127
4
31
1
1
1
2
3
12
103
3
1
1
3
2
3 tasses 3 sous-coupe 
8
20
2 paires
2
50
2
46
40
4
2
6
4"&amp;"
3
5
9
5
4
120"")"),"1247")</f>
        <v>1247</v>
      </c>
    </row>
    <row r="176">
      <c r="A176" s="32" t="s">
        <v>362</v>
      </c>
      <c r="B176" s="14" t="s">
        <v>363</v>
      </c>
      <c r="C176" s="14">
        <v>216.0</v>
      </c>
      <c r="D176" s="14" t="s">
        <v>257</v>
      </c>
      <c r="E176" s="14" t="s">
        <v>341</v>
      </c>
      <c r="F176" s="22" t="str">
        <f>IFERROR(__xludf.DUMMYFUNCTION("AI(""70
42
2
3
14
34
10
10
8
23
8
3
1
1
7
12
29
24
24
4
17
5
4
1
1
8
198
34
9
11
8
11
24
2
31
3
4
12
10
56
21
20
160
100
6
22
21
50
47
1
56
120
2
1
75
270
900g
50g
40
100g
15
1
11
144
10
2
9
44
8
34
32
5
4
15
8
19
40
15
20
35
13
25
25
14
5
18
10
6
4
1
3
1"&amp;"
5 RAM
5 RAM (+1 VRAC)
3 RAM
4 RAM
 1 RAM + 1 VRAC
1 VRAC
1 RAM + 1 VRAC
3 RAM
1 RAM
VRAC
220
3
3
3
3
2
2
3
3
40ml
1
60
40
3
1
2
54
58
5
17
16
200
240
4
9
13
1
180
720
200
16
2
23
140
267
3 RAM
4
4
9
4
2000
21
5
1
2
51
2
10
4 RAM
7
1
3
3
70
91
157
97
92
"&amp;"94
214
34
90
98
174
554
1 596
101
67
22
7
1247
216
20
50
194
146
397
3
1
2
1
1
1
2
1
825
163
12
8
156
101
60
156
40
8
33
19
10
7
8
1
2
5
50
100
50
400
217
50
150
127
4
31
1
1
1
2
3
12
103
3
1
1
3
2
3 tasses 3 sous-coupe 
8
20
2 paires
2
50
2
46
40
4
2
6
4"&amp;"
3
5
9
5
4
120"")"),"216")</f>
        <v>216</v>
      </c>
    </row>
    <row r="177">
      <c r="A177" s="32" t="s">
        <v>364</v>
      </c>
      <c r="B177" s="14" t="s">
        <v>365</v>
      </c>
      <c r="C177" s="14">
        <v>20.0</v>
      </c>
      <c r="D177" s="14" t="s">
        <v>257</v>
      </c>
      <c r="E177" s="14" t="s">
        <v>341</v>
      </c>
      <c r="F177" s="22" t="str">
        <f>IFERROR(__xludf.DUMMYFUNCTION("AI(""70
42
2
3
14
34
10
10
8
23
8
3
1
1
7
12
29
24
24
4
17
5
4
1
1
8
198
34
9
11
8
11
24
2
31
3
4
12
10
56
21
20
160
100
6
22
21
50
47
1
56
120
2
1
75
270
900g
50g
40
100g
15
1
11
144
10
2
9
44
8
34
32
5
4
15
8
19
40
15
20
35
13
25
25
14
5
18
10
6
4
1
3
1"&amp;"
5 RAM
5 RAM (+1 VRAC)
3 RAM
4 RAM
 1 RAM + 1 VRAC
1 VRAC
1 RAM + 1 VRAC
3 RAM
1 RAM
VRAC
220
3
3
3
3
2
2
3
3
40ml
1
60
40
3
1
2
54
58
5
17
16
200
240
4
9
13
1
180
720
200
16
2
23
140
267
3 RAM
4
4
9
4
2000
21
5
1
2
51
2
10
4 RAM
7
1
3
3
70
91
157
97
92
"&amp;"94
214
34
90
98
174
554
1 596
101
67
22
7
1247
216
20
50
194
146
397
3
1
2
1
1
1
2
1
825
163
12
8
156
101
60
156
40
8
33
19
10
7
8
1
2
5
50
100
50
400
217
50
150
127
4
31
1
1
1
2
3
12
103
3
1
1
3
2
3 tasses 3 sous-coupe 
8
20
2 paires
2
50
2
46
40
4
2
6
4"&amp;"
3
5
9
5
4
120"")"),"20")</f>
        <v>20</v>
      </c>
    </row>
    <row r="178">
      <c r="A178" s="32" t="s">
        <v>366</v>
      </c>
      <c r="B178" s="14" t="s">
        <v>367</v>
      </c>
      <c r="C178" s="14">
        <v>50.0</v>
      </c>
      <c r="D178" s="14" t="s">
        <v>257</v>
      </c>
      <c r="E178" s="14" t="s">
        <v>341</v>
      </c>
      <c r="F178" s="22" t="str">
        <f>IFERROR(__xludf.DUMMYFUNCTION("AI(""70
42
2
3
14
34
10
10
8
23
8
3
1
1
7
12
29
24
24
4
17
5
4
1
1
8
198
34
9
11
8
11
24
2
31
3
4
12
10
56
21
20
160
100
6
22
21
50
47
1
56
120
2
1
75
270
900g
50g
40
100g
15
1
11
144
10
2
9
44
8
34
32
5
4
15
8
19
40
15
20
35
13
25
25
14
5
18
10
6
4
1
3
1"&amp;"
5 RAM
5 RAM (+1 VRAC)
3 RAM
4 RAM
 1 RAM + 1 VRAC
1 VRAC
1 RAM + 1 VRAC
3 RAM
1 RAM
VRAC
220
3
3
3
3
2
2
3
3
40ml
1
60
40
3
1
2
54
58
5
17
16
200
240
4
9
13
1
180
720
200
16
2
23
140
267
3 RAM
4
4
9
4
2000
21
5
1
2
51
2
10
4 RAM
7
1
3
3
70
91
157
97
92
"&amp;"94
214
34
90
98
174
554
1 596
101
67
22
7
1247
216
20
50
194
146
397
3
1
2
1
1
1
2
1
825
163
12
8
156
101
60
156
40
8
33
19
10
7
8
1
2
5
50
100
50
400
217
50
150
127
4
31
1
1
1
2
3
12
103
3
1
1
3
2
3 tasses 3 sous-coupe 
8
20
2 paires
2
50
2
46
40
4
2
6
4"&amp;"
3
5
9
5
4
120"")"),"50")</f>
        <v>50</v>
      </c>
    </row>
    <row r="179">
      <c r="A179" s="14" t="s">
        <v>368</v>
      </c>
      <c r="B179" s="14" t="s">
        <v>369</v>
      </c>
      <c r="C179" s="14">
        <v>194.0</v>
      </c>
      <c r="D179" s="14" t="s">
        <v>257</v>
      </c>
      <c r="E179" s="14" t="s">
        <v>341</v>
      </c>
      <c r="F179" s="22" t="str">
        <f>IFERROR(__xludf.DUMMYFUNCTION("AI(""70
42
2
3
14
34
10
10
8
23
8
3
1
1
7
12
29
24
24
4
17
5
4
1
1
8
198
34
9
11
8
11
24
2
31
3
4
12
10
56
21
20
160
100
6
22
21
50
47
1
56
120
2
1
75
270
900g
50g
40
100g
15
1
11
144
10
2
9
44
8
34
32
5
4
15
8
19
40
15
20
35
13
25
25
14
5
18
10
6
4
1
3
1"&amp;"
5 RAM
5 RAM (+1 VRAC)
3 RAM
4 RAM
 1 RAM + 1 VRAC
1 VRAC
1 RAM + 1 VRAC
3 RAM
1 RAM
VRAC
220
3
3
3
3
2
2
3
3
40ml
1
60
40
3
1
2
54
58
5
17
16
200
240
4
9
13
1
180
720
200
16
2
23
140
267
3 RAM
4
4
9
4
2000
21
5
1
2
51
2
10
4 RAM
7
1
3
3
70
91
157
97
92
"&amp;"94
214
34
90
98
174
554
1 596
101
67
22
7
1247
216
20
50
194
146
397
3
1
2
1
1
1
2
1
825
163
12
8
156
101
60
156
40
8
33
19
10
7
8
1
2
5
50
100
50
400
217
50
150
127
4
31
1
1
1
2
3
12
103
3
1
1
3
2
3 tasses 3 sous-coupe 
8
20
2 paires
2
50
2
46
40
4
2
6
4"&amp;"
3
5
9
5
4
120"")"),"194")</f>
        <v>194</v>
      </c>
    </row>
    <row r="180">
      <c r="A180" s="13" t="s">
        <v>370</v>
      </c>
      <c r="B180" s="14" t="s">
        <v>371</v>
      </c>
      <c r="C180" s="14">
        <v>146.0</v>
      </c>
      <c r="D180" s="14" t="s">
        <v>257</v>
      </c>
      <c r="E180" s="14" t="s">
        <v>341</v>
      </c>
      <c r="F180" s="22" t="str">
        <f>IFERROR(__xludf.DUMMYFUNCTION("AI(""70
42
2
3
14
34
10
10
8
23
8
3
1
1
7
12
29
24
24
4
17
5
4
1
1
8
198
34
9
11
8
11
24
2
31
3
4
12
10
56
21
20
160
100
6
22
21
50
47
1
56
120
2
1
75
270
900g
50g
40
100g
15
1
11
144
10
2
9
44
8
34
32
5
4
15
8
19
40
15
20
35
13
25
25
14
5
18
10
6
4
1
3
1"&amp;"
5 RAM
5 RAM (+1 VRAC)
3 RAM
4 RAM
 1 RAM + 1 VRAC
1 VRAC
1 RAM + 1 VRAC
3 RAM
1 RAM
VRAC
220
3
3
3
3
2
2
3
3
40ml
1
60
40
3
1
2
54
58
5
17
16
200
240
4
9
13
1
180
720
200
16
2
23
140
267
3 RAM
4
4
9
4
2000
21
5
1
2
51
2
10
4 RAM
7
1
3
3
70
91
157
97
92
"&amp;"94
214
34
90
98
174
554
1 596
101
67
22
7
1247
216
20
50
194
146
397
3
1
2
1
1
1
2
1
825
163
12
8
156
101
60
156
40
8
33
19
10
7
8
1
2
5
50
100
50
400
217
50
150
127
4
31
1
1
1
2
3
12
103
3
1
1
3
2
3 tasses 3 sous-coupe 
8
20
2 paires
2
50
2
46
40
4
2
6
4"&amp;"
3
5
9
5
4
120"")"),"146")</f>
        <v>146</v>
      </c>
    </row>
    <row r="181">
      <c r="A181" s="32" t="s">
        <v>372</v>
      </c>
      <c r="B181" s="14" t="s">
        <v>373</v>
      </c>
      <c r="C181" s="14">
        <v>397.0</v>
      </c>
      <c r="D181" s="14" t="s">
        <v>257</v>
      </c>
      <c r="E181" s="14" t="s">
        <v>341</v>
      </c>
      <c r="F181" s="22" t="str">
        <f>IFERROR(__xludf.DUMMYFUNCTION("AI(""70
42
2
3
14
34
10
10
8
23
8
3
1
1
7
12
29
24
24
4
17
5
4
1
1
8
198
34
9
11
8
11
24
2
31
3
4
12
10
56
21
20
160
100
6
22
21
50
47
1
56
120
2
1
75
270
900g
50g
40
100g
15
1
11
144
10
2
9
44
8
34
32
5
4
15
8
19
40
15
20
35
13
25
25
14
5
18
10
6
4
1
3
1"&amp;"
5 RAM
5 RAM (+1 VRAC)
3 RAM
4 RAM
 1 RAM + 1 VRAC
1 VRAC
1 RAM + 1 VRAC
3 RAM
1 RAM
VRAC
220
3
3
3
3
2
2
3
3
40ml
1
60
40
3
1
2
54
58
5
17
16
200
240
4
9
13
1
180
720
200
16
2
23
140
267
3 RAM
4
4
9
4
2000
21
5
1
2
51
2
10
4 RAM
7
1
3
3
70
91
157
97
92
"&amp;"94
214
34
90
98
174
554
1 596
101
67
22
7
1247
216
20
50
194
146
397
3
1
2
1
1
1
2
1
825
163
12
8
156
101
60
156
40
8
33
19
10
7
8
1
2
5
50
100
50
400
217
50
150
127
4
31
1
1
1
2
3
12
103
3
1
1
3
2
3 tasses 3 sous-coupe 
8
20
2 paires
2
50
2
46
40
4
2
6
4"&amp;"
3
5
9
5
4
120"")"),"397")</f>
        <v>397</v>
      </c>
    </row>
    <row r="182">
      <c r="A182" s="14" t="s">
        <v>374</v>
      </c>
      <c r="B182" s="14" t="s">
        <v>375</v>
      </c>
      <c r="C182" s="14">
        <v>3.0</v>
      </c>
      <c r="D182" s="14" t="s">
        <v>221</v>
      </c>
      <c r="E182" s="14" t="s">
        <v>341</v>
      </c>
      <c r="F182" s="22" t="str">
        <f>IFERROR(__xludf.DUMMYFUNCTION("AI(""70
42
2
3
14
34
10
10
8
23
8
3
1
1
7
12
29
24
24
4
17
5
4
1
1
8
198
34
9
11
8
11
24
2
31
3
4
12
10
56
21
20
160
100
6
22
21
50
47
1
56
120
2
1
75
270
900g
50g
40
100g
15
1
11
144
10
2
9
44
8
34
32
5
4
15
8
19
40
15
20
35
13
25
25
14
5
18
10
6
4
1
3
1"&amp;"
5 RAM
5 RAM (+1 VRAC)
3 RAM
4 RAM
 1 RAM + 1 VRAC
1 VRAC
1 RAM + 1 VRAC
3 RAM
1 RAM
VRAC
220
3
3
3
3
2
2
3
3
40ml
1
60
40
3
1
2
54
58
5
17
16
200
240
4
9
13
1
180
720
200
16
2
23
140
267
3 RAM
4
4
9
4
2000
21
5
1
2
51
2
10
4 RAM
7
1
3
3
70
91
157
97
92
"&amp;"94
214
34
90
98
174
554
1 596
101
67
22
7
1247
216
20
50
194
146
397
3
1
2
1
1
1
2
1
825
163
12
8
156
101
60
156
40
8
33
19
10
7
8
1
2
5
50
100
50
400
217
50
150
127
4
31
1
1
1
2
3
12
103
3
1
1
3
2
3 tasses 3 sous-coupe 
8
20
2 paires
2
50
2
46
40
4
2
6
4"&amp;"
3
5
9
5
4
120"")"),"3")</f>
        <v>3</v>
      </c>
    </row>
    <row r="183">
      <c r="A183" s="14" t="s">
        <v>376</v>
      </c>
      <c r="B183" s="14" t="s">
        <v>377</v>
      </c>
      <c r="C183" s="14">
        <v>1.0</v>
      </c>
      <c r="D183" s="14" t="s">
        <v>221</v>
      </c>
      <c r="E183" s="14" t="s">
        <v>341</v>
      </c>
      <c r="F183" s="22" t="str">
        <f>IFERROR(__xludf.DUMMYFUNCTION("AI(""70
42
2
3
14
34
10
10
8
23
8
3
1
1
7
12
29
24
24
4
17
5
4
1
1
8
198
34
9
11
8
11
24
2
31
3
4
12
10
56
21
20
160
100
6
22
21
50
47
1
56
120
2
1
75
270
900g
50g
40
100g
15
1
11
144
10
2
9
44
8
34
32
5
4
15
8
19
40
15
20
35
13
25
25
14
5
18
10
6
4
1
3
1"&amp;"
5 RAM
5 RAM (+1 VRAC)
3 RAM
4 RAM
 1 RAM + 1 VRAC
1 VRAC
1 RAM + 1 VRAC
3 RAM
1 RAM
VRAC
220
3
3
3
3
2
2
3
3
40ml
1
60
40
3
1
2
54
58
5
17
16
200
240
4
9
13
1
180
720
200
16
2
23
140
267
3 RAM
4
4
9
4
2000
21
5
1
2
51
2
10
4 RAM
7
1
3
3
70
91
157
97
92
"&amp;"94
214
34
90
98
174
554
1 596
101
67
22
7
1247
216
20
50
194
146
397
3
1
2
1
1
1
2
1
825
163
12
8
156
101
60
156
40
8
33
19
10
7
8
1
2
5
50
100
50
400
217
50
150
127
4
31
1
1
1
2
3
12
103
3
1
1
3
2
3 tasses 3 sous-coupe 
8
20
2 paires
2
50
2
46
40
4
2
6
4"&amp;"
3
5
9
5
4
120"")"),"1")</f>
        <v>1</v>
      </c>
    </row>
    <row r="184">
      <c r="A184" s="14" t="s">
        <v>378</v>
      </c>
      <c r="B184" s="14" t="s">
        <v>379</v>
      </c>
      <c r="C184" s="14">
        <v>2.0</v>
      </c>
      <c r="D184" s="14" t="s">
        <v>221</v>
      </c>
      <c r="E184" s="14" t="s">
        <v>341</v>
      </c>
      <c r="F184" s="22" t="str">
        <f>IFERROR(__xludf.DUMMYFUNCTION("AI(""70
42
2
3
14
34
10
10
8
23
8
3
1
1
7
12
29
24
24
4
17
5
4
1
1
8
198
34
9
11
8
11
24
2
31
3
4
12
10
56
21
20
160
100
6
22
21
50
47
1
56
120
2
1
75
270
900g
50g
40
100g
15
1
11
144
10
2
9
44
8
34
32
5
4
15
8
19
40
15
20
35
13
25
25
14
5
18
10
6
4
1
3
1"&amp;"
5 RAM
5 RAM (+1 VRAC)
3 RAM
4 RAM
 1 RAM + 1 VRAC
1 VRAC
1 RAM + 1 VRAC
3 RAM
1 RAM
VRAC
220
3
3
3
3
2
2
3
3
40ml
1
60
40
3
1
2
54
58
5
17
16
200
240
4
9
13
1
180
720
200
16
2
23
140
267
3 RAM
4
4
9
4
2000
21
5
1
2
51
2
10
4 RAM
7
1
3
3
70
91
157
97
92
"&amp;"94
214
34
90
98
174
554
1 596
101
67
22
7
1247
216
20
50
194
146
397
3
1
2
1
1
1
2
1
825
163
12
8
156
101
60
156
40
8
33
19
10
7
8
1
2
5
50
100
50
400
217
50
150
127
4
31
1
1
1
2
3
12
103
3
1
1
3
2
3 tasses 3 sous-coupe 
8
20
2 paires
2
50
2
46
40
4
2
6
4"&amp;"
3
5
9
5
4
120"")"),"2")</f>
        <v>2</v>
      </c>
    </row>
    <row r="185">
      <c r="A185" s="14" t="s">
        <v>380</v>
      </c>
      <c r="B185" s="14" t="s">
        <v>381</v>
      </c>
      <c r="C185" s="14">
        <v>1.0</v>
      </c>
      <c r="D185" s="14" t="s">
        <v>221</v>
      </c>
      <c r="E185" s="14" t="s">
        <v>341</v>
      </c>
      <c r="F185" s="22" t="str">
        <f>IFERROR(__xludf.DUMMYFUNCTION("AI(""70
42
2
3
14
34
10
10
8
23
8
3
1
1
7
12
29
24
24
4
17
5
4
1
1
8
198
34
9
11
8
11
24
2
31
3
4
12
10
56
21
20
160
100
6
22
21
50
47
1
56
120
2
1
75
270
900g
50g
40
100g
15
1
11
144
10
2
9
44
8
34
32
5
4
15
8
19
40
15
20
35
13
25
25
14
5
18
10
6
4
1
3
1"&amp;"
5 RAM
5 RAM (+1 VRAC)
3 RAM
4 RAM
 1 RAM + 1 VRAC
1 VRAC
1 RAM + 1 VRAC
3 RAM
1 RAM
VRAC
220
3
3
3
3
2
2
3
3
40ml
1
60
40
3
1
2
54
58
5
17
16
200
240
4
9
13
1
180
720
200
16
2
23
140
267
3 RAM
4
4
9
4
2000
21
5
1
2
51
2
10
4 RAM
7
1
3
3
70
91
157
97
92
"&amp;"94
214
34
90
98
174
554
1 596
101
67
22
7
1247
216
20
50
194
146
397
3
1
2
1
1
1
2
1
825
163
12
8
156
101
60
156
40
8
33
19
10
7
8
1
2
5
50
100
50
400
217
50
150
127
4
31
1
1
1
2
3
12
103
3
1
1
3
2
3 tasses 3 sous-coupe 
8
20
2 paires
2
50
2
46
40
4
2
6
4"&amp;"
3
5
9
5
4
120"")"),"1")</f>
        <v>1</v>
      </c>
    </row>
    <row r="186">
      <c r="A186" s="14" t="s">
        <v>382</v>
      </c>
      <c r="B186" s="14" t="s">
        <v>383</v>
      </c>
      <c r="C186" s="14">
        <v>1.0</v>
      </c>
      <c r="D186" s="14" t="s">
        <v>221</v>
      </c>
      <c r="E186" s="14" t="s">
        <v>341</v>
      </c>
      <c r="F186" s="22" t="str">
        <f>IFERROR(__xludf.DUMMYFUNCTION("AI(""70
42
2
3
14
34
10
10
8
23
8
3
1
1
7
12
29
24
24
4
17
5
4
1
1
8
198
34
9
11
8
11
24
2
31
3
4
12
10
56
21
20
160
100
6
22
21
50
47
1
56
120
2
1
75
270
900g
50g
40
100g
15
1
11
144
10
2
9
44
8
34
32
5
4
15
8
19
40
15
20
35
13
25
25
14
5
18
10
6
4
1
3
1"&amp;"
5 RAM
5 RAM (+1 VRAC)
3 RAM
4 RAM
 1 RAM + 1 VRAC
1 VRAC
1 RAM + 1 VRAC
3 RAM
1 RAM
VRAC
220
3
3
3
3
2
2
3
3
40ml
1
60
40
3
1
2
54
58
5
17
16
200
240
4
9
13
1
180
720
200
16
2
23
140
267
3 RAM
4
4
9
4
2000
21
5
1
2
51
2
10
4 RAM
7
1
3
3
70
91
157
97
92
"&amp;"94
214
34
90
98
174
554
1 596
101
67
22
7
1247
216
20
50
194
146
397
3
1
2
1
1
1
2
1
825
163
12
8
156
101
60
156
40
8
33
19
10
7
8
1
2
5
50
100
50
400
217
50
150
127
4
31
1
1
1
2
3
12
103
3
1
1
3
2
3 tasses 3 sous-coupe 
8
20
2 paires
2
50
2
46
40
4
2
6
4"&amp;"
3
5
9
5
4
120"")"),"1")</f>
        <v>1</v>
      </c>
    </row>
    <row r="187">
      <c r="A187" s="14" t="s">
        <v>384</v>
      </c>
      <c r="B187" s="14" t="s">
        <v>385</v>
      </c>
      <c r="C187" s="14">
        <v>1.0</v>
      </c>
      <c r="D187" s="14" t="s">
        <v>221</v>
      </c>
      <c r="E187" s="14" t="s">
        <v>341</v>
      </c>
      <c r="F187" s="22" t="str">
        <f>IFERROR(__xludf.DUMMYFUNCTION("AI(""70
42
2
3
14
34
10
10
8
23
8
3
1
1
7
12
29
24
24
4
17
5
4
1
1
8
198
34
9
11
8
11
24
2
31
3
4
12
10
56
21
20
160
100
6
22
21
50
47
1
56
120
2
1
75
270
900g
50g
40
100g
15
1
11
144
10
2
9
44
8
34
32
5
4
15
8
19
40
15
20
35
13
25
25
14
5
18
10
6
4
1
3
1"&amp;"
5 RAM
5 RAM (+1 VRAC)
3 RAM
4 RAM
 1 RAM + 1 VRAC
1 VRAC
1 RAM + 1 VRAC
3 RAM
1 RAM
VRAC
220
3
3
3
3
2
2
3
3
40ml
1
60
40
3
1
2
54
58
5
17
16
200
240
4
9
13
1
180
720
200
16
2
23
140
267
3 RAM
4
4
9
4
2000
21
5
1
2
51
2
10
4 RAM
7
1
3
3
70
91
157
97
92
"&amp;"94
214
34
90
98
174
554
1 596
101
67
22
7
1247
216
20
50
194
146
397
3
1
2
1
1
1
2
1
825
163
12
8
156
101
60
156
40
8
33
19
10
7
8
1
2
5
50
100
50
400
217
50
150
127
4
31
1
1
1
2
3
12
103
3
1
1
3
2
3 tasses 3 sous-coupe 
8
20
2 paires
2
50
2
46
40
4
2
6
4"&amp;"
3
5
9
5
4
120"")"),"1")</f>
        <v>1</v>
      </c>
    </row>
    <row r="188">
      <c r="A188" s="29" t="s">
        <v>386</v>
      </c>
      <c r="B188" s="29" t="s">
        <v>387</v>
      </c>
      <c r="C188" s="34">
        <v>2.0</v>
      </c>
      <c r="D188" s="35" t="s">
        <v>221</v>
      </c>
      <c r="E188" s="35" t="s">
        <v>341</v>
      </c>
      <c r="F188" s="22" t="str">
        <f>IFERROR(__xludf.DUMMYFUNCTION("AI(""70
42
2
3
14
34
10
10
8
23
8
3
1
1
7
12
29
24
24
4
17
5
4
1
1
8
198
34
9
11
8
11
24
2
31
3
4
12
10
56
21
20
160
100
6
22
21
50
47
1
56
120
2
1
75
270
900g
50g
40
100g
15
1
11
144
10
2
9
44
8
34
32
5
4
15
8
19
40
15
20
35
13
25
25
14
5
18
10
6
4
1
3
1"&amp;"
5 RAM
5 RAM (+1 VRAC)
3 RAM
4 RAM
 1 RAM + 1 VRAC
1 VRAC
1 RAM + 1 VRAC
3 RAM
1 RAM
VRAC
220
3
3
3
3
2
2
3
3
40ml
1
60
40
3
1
2
54
58
5
17
16
200
240
4
9
13
1
180
720
200
16
2
23
140
267
3 RAM
4
4
9
4
2000
21
5
1
2
51
2
10
4 RAM
7
1
3
3
70
91
157
97
92
"&amp;"94
214
34
90
98
174
554
1 596
101
67
22
7
1247
216
20
50
194
146
397
3
1
2
1
1
1
2
1
825
163
12
8
156
101
60
156
40
8
33
19
10
7
8
1
2
5
50
100
50
400
217
50
150
127
4
31
1
1
1
2
3
12
103
3
1
1
3
2
3 tasses 3 sous-coupe 
8
20
2 paires
2
50
2
46
40
4
2
6
4"&amp;"
3
5
9
5
4
120"")"),"2")</f>
        <v>2</v>
      </c>
    </row>
    <row r="189">
      <c r="A189" s="36" t="s">
        <v>388</v>
      </c>
      <c r="B189" s="37" t="s">
        <v>389</v>
      </c>
      <c r="C189" s="38">
        <v>1.0</v>
      </c>
      <c r="D189" s="37" t="s">
        <v>221</v>
      </c>
      <c r="E189" s="37" t="s">
        <v>341</v>
      </c>
      <c r="F189" s="18" t="str">
        <f>IFERROR(__xludf.DUMMYFUNCTION("AI(""70
42
2
3
14
34
10
10
8
23
8
3
1
1
7
12
29
24
24
4
17
5
4
1
1
8
198
34
9
11
8
11
24
2
31
3
4
12
10
56
21
20
160
100
6
22
21
50
47
1
56
120
2
1
75
270
900g
50g
40
100g
15
1
11
144
10
2
9
44
8
34
32
5
4
15
8
19
40
15
20
35
13
25
25
14
5
18
10
6
4
1
3
1"&amp;"
5 RAM
5 RAM (+1 VRAC)
3 RAM
4 RAM
 1 RAM + 1 VRAC
1 VRAC
1 RAM + 1 VRAC
3 RAM
1 RAM
VRAC
220
3
3
3
3
2
2
3
3
40ml
1
60
40
3
1
2
54
58
5
17
16
200
240
4
9
13
1
180
720
200
16
2
23
140
267
3 RAM
4
4
9
4
2000
21
5
1
2
51
2
10
4 RAM
7
1
3
3
70
91
157
97
92
"&amp;"94
214
34
90
98
174
554
1 596
101
67
22
7
1247
216
20
50
194
146
397
3
1
2
1
1
1
2
1
825
163
12
8
156
101
60
156
40
8
33
19
10
7
8
1
2
5
50
100
50
400
217
50
150
127
4
31
1
1
1
2
3
12
103
3
1
1
3
2
3 tasses 3 sous-coupe 
8
20
2 paires
2
50
2
46
40
4
2
6
4"&amp;"
3
5
9
5
4
120"")"),"1")</f>
        <v>1</v>
      </c>
      <c r="G189" s="18"/>
      <c r="H189" s="18"/>
      <c r="I189" s="18"/>
      <c r="J189" s="18"/>
      <c r="K189" s="18"/>
      <c r="L189" s="18"/>
      <c r="M189" s="18"/>
      <c r="N189" s="18"/>
      <c r="O189" s="18"/>
      <c r="P189" s="18"/>
      <c r="Q189" s="18"/>
      <c r="R189" s="18"/>
      <c r="S189" s="18"/>
      <c r="T189" s="18"/>
      <c r="U189" s="18"/>
      <c r="V189" s="18"/>
      <c r="W189" s="18"/>
    </row>
    <row r="190">
      <c r="A190" s="39" t="s">
        <v>390</v>
      </c>
      <c r="B190" s="40" t="s">
        <v>391</v>
      </c>
      <c r="C190" s="40">
        <v>825.0</v>
      </c>
      <c r="D190" s="41" t="str">
        <f>IFERROR(__xludf.DUMMYFUNCTION("AI(""Classement
Classement
Classement
Classement
Classement
Classement
Classement
Classement
Classement
Classement
Enveloppes
Papeterie
Papeterie
Classement
Classement
Classement
Classement
Classement
Classement
Classement
Papeterie
Papeterie
Bureau
Class"&amp;"ement
Classement
Papeterie
Papeterie
Papeterie
Papeterie
Papeterie
Classement
Classement
Classement
Classement
Classement
Classement
Enveloppes
Enveloppes"")"),"Classement")</f>
        <v>Classement</v>
      </c>
      <c r="E190" s="40" t="s">
        <v>392</v>
      </c>
      <c r="F190" s="22" t="str">
        <f>IFERROR(__xludf.DUMMYFUNCTION("AI(""70
42
2
3
14
34
10
10
8
23
8
3
1
1
7
12
29
24
24
4
17
5
4
1
1
8
198
34
9
11
8
11
24
2
31
3
4
12
10
56
21
20
160
100
6
22
21
50
47
1
56
120
2
1
75
270
900g
50g
40
100g
15
1
11
144
10
2
9
44
8
34
32
5
4
15
8
19
40
15
20
35
13
25
25
14
5
18
10
6
4
1
3
1"&amp;"
5 RAM
5 RAM (+1 VRAC)
3 RAM
4 RAM
 1 RAM + 1 VRAC
1 VRAC
1 RAM + 1 VRAC
3 RAM
1 RAM
VRAC
220
3
3
3
3
2
2
3
3
40ml
1
60
40
3
1
2
54
58
5
17
16
200
240
4
9
13
1
180
720
200
16
2
23
140
267
3 RAM
4
4
9
4
2000
21
5
1
2
51
2
10
4 RAM
7
1
3
3
70
91
157
97
92
"&amp;"94
214
34
90
98
174
554
1 596
101
67
22
7
1247
216
20
50
194
146
397
3
1
2
1
1
1
2
1
825
163
12
8
156
101
60
156
40
8
33
19
10
7
8
1
2
5
50
100
50
400
217
50
150
127
4
31
1
1
1
2
3
12
103
3
1
1
3
2
3 tasses 3 sous-coupe 
8
20
2 paires
2
50
2
46
40
4
2
6
4"&amp;"
3
5
9
5
4
120"")"),"825")</f>
        <v>825</v>
      </c>
    </row>
    <row r="191">
      <c r="A191" s="39" t="s">
        <v>393</v>
      </c>
      <c r="B191" s="40" t="s">
        <v>394</v>
      </c>
      <c r="C191" s="40">
        <v>163.0</v>
      </c>
      <c r="D191" s="40" t="s">
        <v>257</v>
      </c>
      <c r="E191" s="40" t="s">
        <v>392</v>
      </c>
      <c r="F191" s="22" t="str">
        <f>IFERROR(__xludf.DUMMYFUNCTION("AI(""70
42
2
3
14
34
10
10
8
23
8
3
1
1
7
12
29
24
24
4
17
5
4
1
1
8
198
34
9
11
8
11
24
2
31
3
4
12
10
56
21
20
160
100
6
22
21
50
47
1
56
120
2
1
75
270
900g
50g
40
100g
15
1
11
144
10
2
9
44
8
34
32
5
4
15
8
19
40
15
20
35
13
25
25
14
5
18
10
6
4
1
3
1"&amp;"
5 RAM
5 RAM (+1 VRAC)
3 RAM
4 RAM
 1 RAM + 1 VRAC
1 VRAC
1 RAM + 1 VRAC
3 RAM
1 RAM
VRAC
220
3
3
3
3
2
2
3
3
40ml
1
60
40
3
1
2
54
58
5
17
16
200
240
4
9
13
1
180
720
200
16
2
23
140
267
3 RAM
4
4
9
4
2000
21
5
1
2
51
2
10
4 RAM
7
1
3
3
70
91
157
97
92
"&amp;"94
214
34
90
98
174
554
1 596
101
67
22
7
1247
216
20
50
194
146
397
3
1
2
1
1
1
2
1
825
163
12
8
156
101
60
156
40
8
33
19
10
7
8
1
2
5
50
100
50
400
217
50
150
127
4
31
1
1
1
2
3
12
103
3
1
1
3
2
3 tasses 3 sous-coupe 
8
20
2 paires
2
50
2
46
40
4
2
6
4"&amp;"
3
5
9
5
4
120"")"),"163")</f>
        <v>163</v>
      </c>
    </row>
    <row r="192">
      <c r="A192" s="40" t="s">
        <v>395</v>
      </c>
      <c r="B192" s="40" t="s">
        <v>396</v>
      </c>
      <c r="C192" s="40">
        <v>12.0</v>
      </c>
      <c r="D192" s="40" t="s">
        <v>257</v>
      </c>
      <c r="E192" s="40" t="s">
        <v>392</v>
      </c>
      <c r="F192" s="22" t="str">
        <f>IFERROR(__xludf.DUMMYFUNCTION("AI(""70
42
2
3
14
34
10
10
8
23
8
3
1
1
7
12
29
24
24
4
17
5
4
1
1
8
198
34
9
11
8
11
24
2
31
3
4
12
10
56
21
20
160
100
6
22
21
50
47
1
56
120
2
1
75
270
900g
50g
40
100g
15
1
11
144
10
2
9
44
8
34
32
5
4
15
8
19
40
15
20
35
13
25
25
14
5
18
10
6
4
1
3
1"&amp;"
5 RAM
5 RAM (+1 VRAC)
3 RAM
4 RAM
 1 RAM + 1 VRAC
1 VRAC
1 RAM + 1 VRAC
3 RAM
1 RAM
VRAC
220
3
3
3
3
2
2
3
3
40ml
1
60
40
3
1
2
54
58
5
17
16
200
240
4
9
13
1
180
720
200
16
2
23
140
267
3 RAM
4
4
9
4
2000
21
5
1
2
51
2
10
4 RAM
7
1
3
3
70
91
157
97
92
"&amp;"94
214
34
90
98
174
554
1 596
101
67
22
7
1247
216
20
50
194
146
397
3
1
2
1
1
1
2
1
825
163
12
8
156
101
60
156
40
8
33
19
10
7
8
1
2
5
50
100
50
400
217
50
150
127
4
31
1
1
1
2
3
12
103
3
1
1
3
2
3 tasses 3 sous-coupe 
8
20
2 paires
2
50
2
46
40
4
2
6
4"&amp;"
3
5
9
5
4
120"")"),"12")</f>
        <v>12</v>
      </c>
    </row>
    <row r="193">
      <c r="A193" s="40" t="s">
        <v>397</v>
      </c>
      <c r="B193" s="40" t="s">
        <v>398</v>
      </c>
      <c r="C193" s="40">
        <v>8.0</v>
      </c>
      <c r="D193" s="40" t="s">
        <v>257</v>
      </c>
      <c r="E193" s="40" t="s">
        <v>392</v>
      </c>
      <c r="F193" s="22" t="str">
        <f>IFERROR(__xludf.DUMMYFUNCTION("AI(""70
42
2
3
14
34
10
10
8
23
8
3
1
1
7
12
29
24
24
4
17
5
4
1
1
8
198
34
9
11
8
11
24
2
31
3
4
12
10
56
21
20
160
100
6
22
21
50
47
1
56
120
2
1
75
270
900g
50g
40
100g
15
1
11
144
10
2
9
44
8
34
32
5
4
15
8
19
40
15
20
35
13
25
25
14
5
18
10
6
4
1
3
1"&amp;"
5 RAM
5 RAM (+1 VRAC)
3 RAM
4 RAM
 1 RAM + 1 VRAC
1 VRAC
1 RAM + 1 VRAC
3 RAM
1 RAM
VRAC
220
3
3
3
3
2
2
3
3
40ml
1
60
40
3
1
2
54
58
5
17
16
200
240
4
9
13
1
180
720
200
16
2
23
140
267
3 RAM
4
4
9
4
2000
21
5
1
2
51
2
10
4 RAM
7
1
3
3
70
91
157
97
92
"&amp;"94
214
34
90
98
174
554
1 596
101
67
22
7
1247
216
20
50
194
146
397
3
1
2
1
1
1
2
1
825
163
12
8
156
101
60
156
40
8
33
19
10
7
8
1
2
5
50
100
50
400
217
50
150
127
4
31
1
1
1
2
3
12
103
3
1
1
3
2
3 tasses 3 sous-coupe 
8
20
2 paires
2
50
2
46
40
4
2
6
4"&amp;"
3
5
9
5
4
120"")"),"156")</f>
        <v>156</v>
      </c>
    </row>
    <row r="194">
      <c r="A194" s="40" t="s">
        <v>399</v>
      </c>
      <c r="B194" s="40" t="s">
        <v>400</v>
      </c>
      <c r="C194" s="40">
        <v>156.0</v>
      </c>
      <c r="D194" s="40" t="s">
        <v>257</v>
      </c>
      <c r="E194" s="40" t="s">
        <v>392</v>
      </c>
      <c r="F194" s="22" t="str">
        <f>IFERROR(__xludf.DUMMYFUNCTION("AI(""70
42
2
3
14
34
10
10
8
23
8
3
1
1
7
12
29
24
24
4
17
5
4
1
1
8
198
34
9
11
8
11
24
2
31
3
4
12
10
56
21
20
160
100
6
22
21
50
47
1
56
120
2
1
75
270
900g
50g
40
100g
15
1
11
144
10
2
9
44
8
34
32
5
4
15
8
19
40
15
20
35
13
25
25
14
5
18
10
6
4
1
3
1"&amp;"
5 RAM
5 RAM (+1 VRAC)
3 RAM
4 RAM
 1 RAM + 1 VRAC
1 VRAC
1 RAM + 1 VRAC
3 RAM
1 RAM
VRAC
220
3
3
3
3
2
2
3
3
40ml
1
60
40
3
1
2
54
58
5
17
16
200
240
4
9
13
1
180
720
200
16
2
23
140
267
3 RAM
4
4
9
4
2000
21
5
1
2
51
2
10
4 RAM
7
1
3
3
70
91
157
97
92
"&amp;"94
214
34
90
98
174
554
1 596
101
67
22
7
1247
216
20
50
194
146
397
3
1
2
1
1
1
2
1
825
163
12
8
156
101
60
156
40
8
33
19
10
7
8
1
2
5
50
100
50
400
217
50
150
127
4
31
1
1
1
2
3
12
103
3
1
1
3
2
3 tasses 3 sous-coupe 
8
20
2 paires
2
50
2
46
40
4
2
6
4"&amp;"
3
5
9
5
4
120"")"),"156")</f>
        <v>156</v>
      </c>
    </row>
    <row r="195">
      <c r="A195" s="39" t="s">
        <v>401</v>
      </c>
      <c r="B195" s="40" t="s">
        <v>402</v>
      </c>
      <c r="C195" s="40">
        <v>101.0</v>
      </c>
      <c r="D195" s="40" t="s">
        <v>257</v>
      </c>
      <c r="E195" s="40" t="s">
        <v>392</v>
      </c>
      <c r="F195" s="22" t="str">
        <f>IFERROR(__xludf.DUMMYFUNCTION("AI(""70
42
2
3
14
34
10
10
8
23
8
3
1
1
7
12
29
24
24
4
17
5
4
1
1
8
198
34
9
11
8
11
24
2
31
3
4
12
10
56
21
20
160
100
6
22
21
50
47
1
56
120
2
1
75
270
900g
50g
40
100g
15
1
11
144
10
2
9
44
8
34
32
5
4
15
8
19
40
15
20
35
13
25
25
14
5
18
10
6
4
1
3
1"&amp;"
5 RAM
5 RAM (+1 VRAC)
3 RAM
4 RAM
 1 RAM + 1 VRAC
1 VRAC
1 RAM + 1 VRAC
3 RAM
1 RAM
VRAC
220
3
3
3
3
2
2
3
3
40ml
1
60
40
3
1
2
54
58
5
17
16
200
240
4
9
13
1
180
720
200
16
2
23
140
267
3 RAM
4
4
9
4
2000
21
5
1
2
51
2
10
4 RAM
7
1
3
3
70
91
157
97
92
"&amp;"94
214
34
90
98
174
554
1 596
101
67
22
7
1247
216
20
50
194
146
397
3
1
2
1
1
1
2
1
825
163
12
8
156
101
60
156
40
8
33
19
10
7
8
1
2
5
50
100
50
400
217
50
150
127
4
31
1
1
1
2
3
12
103
3
1
1
3
2
3 tasses 3 sous-coupe 
8
20
2 paires
2
50
2
46
40
4
2
6
4"&amp;"
3
5
9
5
4
120"")"),"101")</f>
        <v>101</v>
      </c>
    </row>
    <row r="196">
      <c r="A196" s="40" t="s">
        <v>403</v>
      </c>
      <c r="B196" s="40" t="s">
        <v>404</v>
      </c>
      <c r="C196" s="40">
        <v>60.0</v>
      </c>
      <c r="D196" s="40" t="s">
        <v>257</v>
      </c>
      <c r="E196" s="40" t="s">
        <v>392</v>
      </c>
      <c r="F196" s="22" t="str">
        <f>IFERROR(__xludf.DUMMYFUNCTION("AI(""70
42
2
3
14
34
10
10
8
23
8
3
1
1
7
12
29
24
24
4
17
5
4
1
1
8
198
34
9
11
8
11
24
2
31
3
4
12
10
56
21
20
160
100
6
22
21
50
47
1
56
120
2
1
75
270
900g
50g
40
100g
15
1
11
144
10
2
9
44
8
34
32
5
4
15
8
19
40
15
20
35
13
25
25
14
5
18
10
6
4
1
3
1"&amp;"
5 RAM
5 RAM (+1 VRAC)
3 RAM
4 RAM
 1 RAM + 1 VRAC
1 VRAC
1 RAM + 1 VRAC
3 RAM
1 RAM
VRAC
220
3
3
3
3
2
2
3
3
40ml
1
60
40
3
1
2
54
58
5
17
16
200
240
4
9
13
1
180
720
200
16
2
23
140
267
3 RAM
4
4
9
4
2000
21
5
1
2
51
2
10
4 RAM
7
1
3
3
70
91
157
97
92
"&amp;"94
214
34
90
98
174
554
1 596
101
67
22
7
1247
216
20
50
194
146
397
3
1
2
1
1
1
2
1
825
163
12
8
156
101
60
156
40
8
33
19
10
7
8
1
2
5
50
100
50
400
217
50
150
127
4
31
1
1
1
2
3
12
103
3
1
1
3
2
3 tasses 3 sous-coupe 
8
20
2 paires
2
50
2
46
40
4
2
6
4"&amp;"
3
5
9
5
4
120"")"),"60")</f>
        <v>60</v>
      </c>
    </row>
    <row r="197">
      <c r="A197" s="40" t="s">
        <v>405</v>
      </c>
      <c r="B197" s="40" t="s">
        <v>406</v>
      </c>
      <c r="C197" s="40">
        <v>156.0</v>
      </c>
      <c r="D197" s="40" t="s">
        <v>257</v>
      </c>
      <c r="E197" s="40" t="s">
        <v>392</v>
      </c>
      <c r="F197" s="22" t="str">
        <f>IFERROR(__xludf.DUMMYFUNCTION("AI(""70
42
2
3
14
34
10
10
8
23
8
3
1
1
7
12
29
24
24
4
17
5
4
1
1
8
198
34
9
11
8
11
24
2
31
3
4
12
10
56
21
20
160
100
6
22
21
50
47
1
56
120
2
1
75
270
900g
50g
40
100g
15
1
11
144
10
2
9
44
8
34
32
5
4
15
8
19
40
15
20
35
13
25
25
14
5
18
10
6
4
1
3
1"&amp;"
5 RAM
5 RAM (+1 VRAC)
3 RAM
4 RAM
 1 RAM + 1 VRAC
1 VRAC
1 RAM + 1 VRAC
3 RAM
1 RAM
VRAC
220
3
3
3
3
2
2
3
3
40ml
1
60
40
3
1
2
54
58
5
17
16
200
240
4
9
13
1
180
720
200
16
2
23
140
267
3 RAM
4
4
9
4
2000
21
5
1
2
51
2
10
4 RAM
7
1
3
3
70
91
157
97
92
"&amp;"94
214
34
90
98
174
554
1 596
101
67
22
7
1247
216
20
50
194
146
397
3
1
2
1
1
1
2
1
825
163
12
8
156
101
60
156
40
8
33
19
10
7
8
1
2
5
50
100
50
400
217
50
150
127
4
31
1
1
1
2
3
12
103
3
1
1
3
2
3 tasses 3 sous-coupe 
8
20
2 paires
2
50
2
46
40
4
2
6
4"&amp;"
3
5
9
5
4
120"")"),"156")</f>
        <v>156</v>
      </c>
    </row>
    <row r="198">
      <c r="A198" s="40" t="s">
        <v>407</v>
      </c>
      <c r="B198" s="40" t="s">
        <v>408</v>
      </c>
      <c r="C198" s="40">
        <v>40.0</v>
      </c>
      <c r="D198" s="40" t="s">
        <v>147</v>
      </c>
      <c r="E198" s="40" t="s">
        <v>392</v>
      </c>
      <c r="F198" s="22" t="str">
        <f>IFERROR(__xludf.DUMMYFUNCTION("AI(""70
42
2
3
14
34
10
10
8
23
8
3
1
1
7
12
29
24
24
4
17
5
4
1
1
8
198
34
9
11
8
11
24
2
31
3
4
12
10
56
21
20
160
100
6
22
21
50
47
1
56
120
2
1
75
270
900g
50g
40
100g
15
1
11
144
10
2
9
44
8
34
32
5
4
15
8
19
40
15
20
35
13
25
25
14
5
18
10
6
4
1
3
1"&amp;"
5 RAM
5 RAM (+1 VRAC)
3 RAM
4 RAM
 1 RAM + 1 VRAC
1 VRAC
1 RAM + 1 VRAC
3 RAM
1 RAM
VRAC
220
3
3
3
3
2
2
3
3
40ml
1
60
40
3
1
2
54
58
5
17
16
200
240
4
9
13
1
180
720
200
16
2
23
140
267
3 RAM
4
4
9
4
2000
21
5
1
2
51
2
10
4 RAM
7
1
3
3
70
91
157
97
92
"&amp;"94
214
34
90
98
174
554
1 596
101
67
22
7
1247
216
20
50
194
146
397
3
1
2
1
1
1
2
1
825
163
12
8
156
101
60
156
40
8
33
19
10
7
8
1
2
5
50
100
50
400
217
50
150
127
4
31
1
1
1
2
3
12
103
3
1
1
3
2
3 tasses 3 sous-coupe 
8
20
2 paires
2
50
2
46
40
4
2
6
4"&amp;"
3
5
9
5
4
120"")"),"40")</f>
        <v>40</v>
      </c>
    </row>
    <row r="199">
      <c r="A199" s="40" t="s">
        <v>409</v>
      </c>
      <c r="B199" s="40" t="s">
        <v>410</v>
      </c>
      <c r="C199" s="40">
        <v>8.0</v>
      </c>
      <c r="D199" s="40" t="s">
        <v>257</v>
      </c>
      <c r="E199" s="40" t="s">
        <v>392</v>
      </c>
      <c r="F199" s="22" t="str">
        <f>IFERROR(__xludf.DUMMYFUNCTION("AI(""70
42
2
3
14
34
10
10
8
23
8
3
1
1
7
12
29
24
24
4
17
5
4
1
1
8
198
34
9
11
8
11
24
2
31
3
4
12
10
56
21
20
160
100
6
22
21
50
47
1
56
120
2
1
75
270
900g
50g
40
100g
15
1
11
144
10
2
9
44
8
34
32
5
4
15
8
19
40
15
20
35
13
25
25
14
5
18
10
6
4
1
3
1"&amp;"
5 RAM
5 RAM (+1 VRAC)
3 RAM
4 RAM
 1 RAM + 1 VRAC
1 VRAC
1 RAM + 1 VRAC
3 RAM
1 RAM
VRAC
220
3
3
3
3
2
2
3
3
40ml
1
60
40
3
1
2
54
58
5
17
16
200
240
4
9
13
1
180
720
200
16
2
23
140
267
3 RAM
4
4
9
4
2000
21
5
1
2
51
2
10
4 RAM
7
1
3
3
70
91
157
97
92
"&amp;"94
214
34
90
98
174
554
1 596
101
67
22
7
1247
216
20
50
194
146
397
3
1
2
1
1
1
2
1
825
163
12
8
156
101
60
156
40
8
33
19
10
7
8
1
2
5
50
100
50
400
217
50
150
127
4
31
1
1
1
2
3
12
103
3
1
1
3
2
3 tasses 3 sous-coupe 
8
20
2 paires
2
50
2
46
40
4
2
6
4"&amp;"
3
5
9
5
4
120"")"),"8")</f>
        <v>8</v>
      </c>
    </row>
    <row r="200">
      <c r="A200" s="40" t="s">
        <v>411</v>
      </c>
      <c r="B200" s="40" t="s">
        <v>412</v>
      </c>
      <c r="C200" s="40">
        <v>33.0</v>
      </c>
      <c r="D200" s="40" t="s">
        <v>257</v>
      </c>
      <c r="E200" s="40" t="s">
        <v>392</v>
      </c>
      <c r="F200" s="22" t="str">
        <f>IFERROR(__xludf.DUMMYFUNCTION("AI(""70
42
2
3
14
34
10
10
8
23
8
3
1
1
7
12
29
24
24
4
17
5
4
1
1
8
198
34
9
11
8
11
24
2
31
3
4
12
10
56
21
20
160
100
6
22
21
50
47
1
56
120
2
1
75
270
900g
50g
40
100g
15
1
11
144
10
2
9
44
8
34
32
5
4
15
8
19
40
15
20
35
13
25
25
14
5
18
10
6
4
1
3
1"&amp;"
5 RAM
5 RAM (+1 VRAC)
3 RAM
4 RAM
 1 RAM + 1 VRAC
1 VRAC
1 RAM + 1 VRAC
3 RAM
1 RAM
VRAC
220
3
3
3
3
2
2
3
3
40ml
1
60
40
3
1
2
54
58
5
17
16
200
240
4
9
13
1
180
720
200
16
2
23
140
267
3 RAM
4
4
9
4
2000
21
5
1
2
51
2
10
4 RAM
7
1
3
3
70
91
157
97
92
"&amp;"94
214
34
90
98
174
554
1 596
101
67
22
7
1247
216
20
50
194
146
397
3
1
2
1
1
1
2
1
825
163
12
8
156
101
60
156
40
8
33
19
10
7
8
1
2
5
50
100
50
400
217
50
150
127
4
31
1
1
1
2
3
12
103
3
1
1
3
2
3 tasses 3 sous-coupe 
8
20
2 paires
2
50
2
46
40
4
2
6
4"&amp;"
3
5
9
5
4
120"")"),"33")</f>
        <v>33</v>
      </c>
    </row>
    <row r="201">
      <c r="A201" s="14" t="s">
        <v>413</v>
      </c>
      <c r="B201" s="14" t="s">
        <v>414</v>
      </c>
      <c r="C201" s="14">
        <v>19.0</v>
      </c>
      <c r="D201" s="14" t="s">
        <v>415</v>
      </c>
      <c r="E201" s="14" t="s">
        <v>416</v>
      </c>
      <c r="F201" s="22" t="str">
        <f>IFERROR(__xludf.DUMMYFUNCTION("AI(""70
42
2
3
14
34
10
10
8
23
8
3
1
1
7
12
29
24
24
4
17
5
4
1
1
8
198
34
9
11
8
11
24
2
31
3
4
12
10
56
21
20
160
100
6
22
21
50
47
1
56
120
2
1
75
270
900g
50g
40
100g
15
1
11
144
10
2
9
44
8
34
32
5
4
15
8
19
40
15
20
35
13
25
25
14
5
18
10
6
4
1
3
1"&amp;"
5 RAM
5 RAM (+1 VRAC)
3 RAM
4 RAM
 1 RAM + 1 VRAC
1 VRAC
1 RAM + 1 VRAC
3 RAM
1 RAM
VRAC
220
3
3
3
3
2
2
3
3
40ml
1
60
40
3
1
2
54
58
5
17
16
200
240
4
9
13
1
180
720
200
16
2
23
140
267
3 RAM
4
4
9
4
2000
21
5
1
2
51
2
10
4 RAM
7
1
3
3
70
91
157
97
92
"&amp;"94
214
34
90
98
174
554
1 596
101
67
22
7
1247
216
20
50
194
146
397
3
1
2
1
1
1
2
1
825
163
12
8
156
101
60
156
40
8
33
19
10
7
8
1
2
5
50
100
50
400
217
50
150
127
4
31
1
1
1
2
3
12
103
3
1
1
3
2
3 tasses 3 sous-coupe 
8
20
2 paires
2
50
2
46
40
4
2
6
4"&amp;"
3
5
9
5
4
120"")"),"19")</f>
        <v>19</v>
      </c>
    </row>
    <row r="202">
      <c r="A202" s="14" t="s">
        <v>417</v>
      </c>
      <c r="B202" s="14" t="s">
        <v>418</v>
      </c>
      <c r="C202" s="14">
        <v>10.0</v>
      </c>
      <c r="D202" s="14" t="s">
        <v>415</v>
      </c>
      <c r="E202" s="14" t="s">
        <v>416</v>
      </c>
      <c r="F202" s="22" t="str">
        <f>IFERROR(__xludf.DUMMYFUNCTION("AI(""70
42
2
3
14
34
10
10
8
23
8
3
1
1
7
12
29
24
24
4
17
5
4
1
1
8
198
34
9
11
8
11
24
2
31
3
4
12
10
56
21
20
160
100
6
22
21
50
47
1
56
120
2
1
75
270
900g
50g
40
100g
15
1
11
144
10
2
9
44
8
34
32
5
4
15
8
19
40
15
20
35
13
25
25
14
5
18
10
6
4
1
3
1"&amp;"
5 RAM
5 RAM (+1 VRAC)
3 RAM
4 RAM
 1 RAM + 1 VRAC
1 VRAC
1 RAM + 1 VRAC
3 RAM
1 RAM
VRAC
220
3
3
3
3
2
2
3
3
40ml
1
60
40
3
1
2
54
58
5
17
16
200
240
4
9
13
1
180
720
200
16
2
23
140
267
3 RAM
4
4
9
4
2000
21
5
1
2
51
2
10
4 RAM
7
1
3
3
70
91
157
97
92
"&amp;"94
214
34
90
98
174
554
1 596
101
67
22
7
1247
216
20
50
194
146
397
3
1
2
1
1
1
2
1
825
163
12
8
156
101
60
156
40
8
33
19
10
7
8
1
2
5
50
100
50
400
217
50
150
127
4
31
1
1
1
2
3
12
103
3
1
1
3
2
3 tasses 3 sous-coupe 
8
20
2 paires
2
50
2
46
40
4
2
6
4"&amp;"
3
5
9
5
4
120"")"),"10")</f>
        <v>10</v>
      </c>
    </row>
    <row r="203">
      <c r="A203" s="14" t="s">
        <v>419</v>
      </c>
      <c r="B203" s="14" t="s">
        <v>420</v>
      </c>
      <c r="C203" s="14">
        <v>7.0</v>
      </c>
      <c r="D203" s="14" t="s">
        <v>415</v>
      </c>
      <c r="E203" s="14" t="s">
        <v>416</v>
      </c>
      <c r="F203" s="22" t="str">
        <f>IFERROR(__xludf.DUMMYFUNCTION("AI(""70
42
2
3
14
34
10
10
8
23
8
3
1
1
7
12
29
24
24
4
17
5
4
1
1
8
198
34
9
11
8
11
24
2
31
3
4
12
10
56
21
20
160
100
6
22
21
50
47
1
56
120
2
1
75
270
900g
50g
40
100g
15
1
11
144
10
2
9
44
8
34
32
5
4
15
8
19
40
15
20
35
13
25
25
14
5
18
10
6
4
1
3
1"&amp;"
5 RAM
5 RAM (+1 VRAC)
3 RAM
4 RAM
 1 RAM + 1 VRAC
1 VRAC
1 RAM + 1 VRAC
3 RAM
1 RAM
VRAC
220
3
3
3
3
2
2
3
3
40ml
1
60
40
3
1
2
54
58
5
17
16
200
240
4
9
13
1
180
720
200
16
2
23
140
267
3 RAM
4
4
9
4
2000
21
5
1
2
51
2
10
4 RAM
7
1
3
3
70
91
157
97
92
"&amp;"94
214
34
90
98
174
554
1 596
101
67
22
7
1247
216
20
50
194
146
397
3
1
2
1
1
1
2
1
825
163
12
8
156
101
60
156
40
8
33
19
10
7
8
1
2
5
50
100
50
400
217
50
150
127
4
31
1
1
1
2
3
12
103
3
1
1
3
2
3 tasses 3 sous-coupe 
8
20
2 paires
2
50
2
46
40
4
2
6
4"&amp;"
3
5
9
5
4
120"")"),"7")</f>
        <v>7</v>
      </c>
    </row>
    <row r="204">
      <c r="A204" s="14" t="s">
        <v>421</v>
      </c>
      <c r="B204" s="14" t="s">
        <v>422</v>
      </c>
      <c r="C204" s="14">
        <v>8.0</v>
      </c>
      <c r="D204" s="14" t="s">
        <v>415</v>
      </c>
      <c r="E204" s="14" t="s">
        <v>416</v>
      </c>
      <c r="F204" s="22" t="str">
        <f>IFERROR(__xludf.DUMMYFUNCTION("AI(""70
42
2
3
14
34
10
10
8
23
8
3
1
1
7
12
29
24
24
4
17
5
4
1
1
8
198
34
9
11
8
11
24
2
31
3
4
12
10
56
21
20
160
100
6
22
21
50
47
1
56
120
2
1
75
270
900g
50g
40
100g
15
1
11
144
10
2
9
44
8
34
32
5
4
15
8
19
40
15
20
35
13
25
25
14
5
18
10
6
4
1
3
1"&amp;"
5 RAM
5 RAM (+1 VRAC)
3 RAM
4 RAM
 1 RAM + 1 VRAC
1 VRAC
1 RAM + 1 VRAC
3 RAM
1 RAM
VRAC
220
3
3
3
3
2
2
3
3
40ml
1
60
40
3
1
2
54
58
5
17
16
200
240
4
9
13
1
180
720
200
16
2
23
140
267
3 RAM
4
4
9
4
2000
21
5
1
2
51
2
10
4 RAM
7
1
3
3
70
91
157
97
92
"&amp;"94
214
34
90
98
174
554
1 596
101
67
22
7
1247
216
20
50
194
146
397
3
1
2
1
1
1
2
1
825
163
12
8
156
101
60
156
40
8
33
19
10
7
8
1
2
5
50
100
50
400
217
50
150
127
4
31
1
1
1
2
3
12
103
3
1
1
3
2
3 tasses 3 sous-coupe 
8
20
2 paires
2
50
2
46
40
4
2
6
4"&amp;"
3
5
9
5
4
120"")"),"8")</f>
        <v>8</v>
      </c>
    </row>
    <row r="205">
      <c r="A205" s="14" t="s">
        <v>423</v>
      </c>
      <c r="B205" s="14" t="s">
        <v>424</v>
      </c>
      <c r="C205" s="14">
        <v>1.0</v>
      </c>
      <c r="D205" s="14" t="s">
        <v>415</v>
      </c>
      <c r="E205" s="14" t="s">
        <v>416</v>
      </c>
      <c r="F205" s="22" t="str">
        <f>IFERROR(__xludf.DUMMYFUNCTION("AI(""70
42
2
3
14
34
10
10
8
23
8
3
1
1
7
12
29
24
24
4
17
5
4
1
1
8
198
34
9
11
8
11
24
2
31
3
4
12
10
56
21
20
160
100
6
22
21
50
47
1
56
120
2
1
75
270
900g
50g
40
100g
15
1
11
144
10
2
9
44
8
34
32
5
4
15
8
19
40
15
20
35
13
25
25
14
5
18
10
6
4
1
3
1"&amp;"
5 RAM
5 RAM (+1 VRAC)
3 RAM
4 RAM
 1 RAM + 1 VRAC
1 VRAC
1 RAM + 1 VRAC
3 RAM
1 RAM
VRAC
220
3
3
3
3
2
2
3
3
40ml
1
60
40
3
1
2
54
58
5
17
16
200
240
4
9
13
1
180
720
200
16
2
23
140
267
3 RAM
4
4
9
4
2000
21
5
1
2
51
2
10
4 RAM
7
1
3
3
70
91
157
97
92
"&amp;"94
214
34
90
98
174
554
1 596
101
67
22
7
1247
216
20
50
194
146
397
3
1
2
1
1
1
2
1
825
163
12
8
156
101
60
156
40
8
33
19
10
7
8
1
2
5
50
100
50
400
217
50
150
127
4
31
1
1
1
2
3
12
103
3
1
1
3
2
3 tasses 3 sous-coupe 
8
20
2 paires
2
50
2
46
40
4
2
6
4"&amp;"
3
5
9
5
4
120"")"),"1")</f>
        <v>1</v>
      </c>
    </row>
    <row r="206">
      <c r="A206" s="14" t="s">
        <v>425</v>
      </c>
      <c r="B206" s="14" t="s">
        <v>426</v>
      </c>
      <c r="C206" s="14">
        <v>2.0</v>
      </c>
      <c r="D206" s="14" t="s">
        <v>415</v>
      </c>
      <c r="E206" s="14" t="s">
        <v>416</v>
      </c>
      <c r="F206" s="22" t="str">
        <f>IFERROR(__xludf.DUMMYFUNCTION("AI(""70
42
2
3
14
34
10
10
8
23
8
3
1
1
7
12
29
24
24
4
17
5
4
1
1
8
198
34
9
11
8
11
24
2
31
3
4
12
10
56
21
20
160
100
6
22
21
50
47
1
56
120
2
1
75
270
900g
50g
40
100g
15
1
11
144
10
2
9
44
8
34
32
5
4
15
8
19
40
15
20
35
13
25
25
14
5
18
10
6
4
1
3
1"&amp;"
5 RAM
5 RAM (+1 VRAC)
3 RAM
4 RAM
 1 RAM + 1 VRAC
1 VRAC
1 RAM + 1 VRAC
3 RAM
1 RAM
VRAC
220
3
3
3
3
2
2
3
3
40ml
1
60
40
3
1
2
54
58
5
17
16
200
240
4
9
13
1
180
720
200
16
2
23
140
267
3 RAM
4
4
9
4
2000
21
5
1
2
51
2
10
4 RAM
7
1
3
3
70
91
157
97
92
"&amp;"94
214
34
90
98
174
554
1 596
101
67
22
7
1247
216
20
50
194
146
397
3
1
2
1
1
1
2
1
825
163
12
8
156
101
60
156
40
8
33
19
10
7
8
1
2
5
50
100
50
400
217
50
150
127
4
31
1
1
1
2
3
12
103
3
1
1
3
2
3 tasses 3 sous-coupe 
8
20
2 paires
2
50
2
46
40
4
2
6
4"&amp;"
3
5
9
5
4
120"")"),"2")</f>
        <v>2</v>
      </c>
    </row>
    <row r="207">
      <c r="A207" s="14" t="s">
        <v>427</v>
      </c>
      <c r="B207" s="14" t="s">
        <v>428</v>
      </c>
      <c r="C207" s="14">
        <v>5.0</v>
      </c>
      <c r="D207" s="14" t="s">
        <v>415</v>
      </c>
      <c r="E207" s="14" t="s">
        <v>416</v>
      </c>
      <c r="F207" s="22" t="str">
        <f>IFERROR(__xludf.DUMMYFUNCTION("AI(""70
42
2
3
14
34
10
10
8
23
8
3
1
1
7
12
29
24
24
4
17
5
4
1
1
8
198
34
9
11
8
11
24
2
31
3
4
12
10
56
21
20
160
100
6
22
21
50
47
1
56
120
2
1
75
270
900g
50g
40
100g
15
1
11
144
10
2
9
44
8
34
32
5
4
15
8
19
40
15
20
35
13
25
25
14
5
18
10
6
4
1
3
1"&amp;"
5 RAM
5 RAM (+1 VRAC)
3 RAM
4 RAM
 1 RAM + 1 VRAC
1 VRAC
1 RAM + 1 VRAC
3 RAM
1 RAM
VRAC
220
3
3
3
3
2
2
3
3
40ml
1
60
40
3
1
2
54
58
5
17
16
200
240
4
9
13
1
180
720
200
16
2
23
140
267
3 RAM
4
4
9
4
2000
21
5
1
2
51
2
10
4 RAM
7
1
3
3
70
91
157
97
92
"&amp;"94
214
34
90
98
174
554
1 596
101
67
22
7
1247
216
20
50
194
146
397
3
1
2
1
1
1
2
1
825
163
12
8
156
101
60
156
40
8
33
19
10
7
8
1
2
5
50
100
50
400
217
50
150
127
4
31
1
1
1
2
3
12
103
3
1
1
3
2
3 tasses 3 sous-coupe 
8
20
2 paires
2
50
2
46
40
4
2
6
4"&amp;"
3
5
9
5
4
120"")"),"5")</f>
        <v>5</v>
      </c>
    </row>
    <row r="208">
      <c r="A208" s="14" t="s">
        <v>429</v>
      </c>
      <c r="B208" s="14" t="s">
        <v>430</v>
      </c>
      <c r="C208" s="14">
        <v>50.0</v>
      </c>
      <c r="D208" s="14" t="s">
        <v>147</v>
      </c>
      <c r="E208" s="14" t="s">
        <v>416</v>
      </c>
      <c r="F208" s="22" t="str">
        <f>IFERROR(__xludf.DUMMYFUNCTION("AI(""70
42
2
3
14
34
10
10
8
23
8
3
1
1
7
12
29
24
24
4
17
5
4
1
1
8
198
34
9
11
8
11
24
2
31
3
4
12
10
56
21
20
160
100
6
22
21
50
47
1
56
120
2
1
75
270
900g
50g
40
100g
15
1
11
144
10
2
9
44
8
34
32
5
4
15
8
19
40
15
20
35
13
25
25
14
5
18
10
6
4
1
3
1"&amp;"
5 RAM
5 RAM (+1 VRAC)
3 RAM
4 RAM
 1 RAM + 1 VRAC
1 VRAC
1 RAM + 1 VRAC
3 RAM
1 RAM
VRAC
220
3
3
3
3
2
2
3
3
40ml
1
60
40
3
1
2
54
58
5
17
16
200
240
4
9
13
1
180
720
200
16
2
23
140
267
3 RAM
4
4
9
4
2000
21
5
1
2
51
2
10
4 RAM
7
1
3
3
70
91
157
97
92
"&amp;"94
214
34
90
98
174
554
1 596
101
67
22
7
1247
216
20
50
194
146
397
3
1
2
1
1
1
2
1
825
163
12
8
156
101
60
156
40
8
33
19
10
7
8
1
2
5
50
100
50
400
217
50
150
127
4
31
1
1
1
2
3
12
103
3
1
1
3
2
3 tasses 3 sous-coupe 
8
20
2 paires
2
50
2
46
40
4
2
6
4"&amp;"
3
5
9
5
4
120"")"),"50")</f>
        <v>50</v>
      </c>
    </row>
    <row r="209">
      <c r="A209" s="14" t="s">
        <v>431</v>
      </c>
      <c r="B209" s="14" t="s">
        <v>432</v>
      </c>
      <c r="C209" s="14">
        <v>100.0</v>
      </c>
      <c r="D209" s="14" t="s">
        <v>147</v>
      </c>
      <c r="E209" s="14" t="s">
        <v>416</v>
      </c>
      <c r="F209" s="22" t="str">
        <f>IFERROR(__xludf.DUMMYFUNCTION("AI(""70
42
2
3
14
34
10
10
8
23
8
3
1
1
7
12
29
24
24
4
17
5
4
1
1
8
198
34
9
11
8
11
24
2
31
3
4
12
10
56
21
20
160
100
6
22
21
50
47
1
56
120
2
1
75
270
900g
50g
40
100g
15
1
11
144
10
2
9
44
8
34
32
5
4
15
8
19
40
15
20
35
13
25
25
14
5
18
10
6
4
1
3
1"&amp;"
5 RAM
5 RAM (+1 VRAC)
3 RAM
4 RAM
 1 RAM + 1 VRAC
1 VRAC
1 RAM + 1 VRAC
3 RAM
1 RAM
VRAC
220
3
3
3
3
2
2
3
3
40ml
1
60
40
3
1
2
54
58
5
17
16
200
240
4
9
13
1
180
720
200
16
2
23
140
267
3 RAM
4
4
9
4
2000
21
5
1
2
51
2
10
4 RAM
7
1
3
3
70
91
157
97
92
"&amp;"94
214
34
90
98
174
554
1 596
101
67
22
7
1247
216
20
50
194
146
397
3
1
2
1
1
1
2
1
825
163
12
8
156
101
60
156
40
8
33
19
10
7
8
1
2
5
50
100
50
400
217
50
150
127
4
31
1
1
1
2
3
12
103
3
1
1
3
2
3 tasses 3 sous-coupe 
8
20
2 paires
2
50
2
46
40
4
2
6
4"&amp;"
3
5
9
5
4
120"")"),"100")</f>
        <v>100</v>
      </c>
    </row>
    <row r="210">
      <c r="A210" s="14" t="s">
        <v>433</v>
      </c>
      <c r="B210" s="14" t="s">
        <v>434</v>
      </c>
      <c r="C210" s="14">
        <v>50.0</v>
      </c>
      <c r="D210" s="14" t="s">
        <v>147</v>
      </c>
      <c r="E210" s="14" t="s">
        <v>416</v>
      </c>
      <c r="F210" s="22" t="str">
        <f>IFERROR(__xludf.DUMMYFUNCTION("AI(""70
42
2
3
14
34
10
10
8
23
8
3
1
1
7
12
29
24
24
4
17
5
4
1
1
8
198
34
9
11
8
11
24
2
31
3
4
12
10
56
21
20
160
100
6
22
21
50
47
1
56
120
2
1
75
270
900g
50g
40
100g
15
1
11
144
10
2
9
44
8
34
32
5
4
15
8
19
40
15
20
35
13
25
25
14
5
18
10
6
4
1
3
1"&amp;"
5 RAM
5 RAM (+1 VRAC)
3 RAM
4 RAM
 1 RAM + 1 VRAC
1 VRAC
1 RAM + 1 VRAC
3 RAM
1 RAM
VRAC
220
3
3
3
3
2
2
3
3
40ml
1
60
40
3
1
2
54
58
5
17
16
200
240
4
9
13
1
180
720
200
16
2
23
140
267
3 RAM
4
4
9
4
2000
21
5
1
2
51
2
10
4 RAM
7
1
3
3
70
91
157
97
92
"&amp;"94
214
34
90
98
174
554
1 596
101
67
22
7
1247
216
20
50
194
146
397
3
1
2
1
1
1
2
1
825
163
12
8
156
101
60
156
40
8
33
19
10
7
8
1
2
5
50
100
50
400
217
50
150
127
4
31
1
1
1
2
3
12
103
3
1
1
3
2
3 tasses 3 sous-coupe 
8
20
2 paires
2
50
2
46
40
4
2
6
4"&amp;"
3
5
9
5
4
120"")"),"50")</f>
        <v>50</v>
      </c>
    </row>
    <row r="211">
      <c r="A211" s="14" t="s">
        <v>435</v>
      </c>
      <c r="B211" s="14" t="s">
        <v>436</v>
      </c>
      <c r="C211" s="14">
        <v>400.0</v>
      </c>
      <c r="D211" s="14" t="s">
        <v>147</v>
      </c>
      <c r="E211" s="14" t="s">
        <v>416</v>
      </c>
      <c r="F211" s="22" t="str">
        <f>IFERROR(__xludf.DUMMYFUNCTION("AI(""70
42
2
3
14
34
10
10
8
23
8
3
1
1
7
12
29
24
24
4
17
5
4
1
1
8
198
34
9
11
8
11
24
2
31
3
4
12
10
56
21
20
160
100
6
22
21
50
47
1
56
120
2
1
75
270
900g
50g
40
100g
15
1
11
144
10
2
9
44
8
34
32
5
4
15
8
19
40
15
20
35
13
25
25
14
5
18
10
6
4
1
3
1"&amp;"
5 RAM
5 RAM (+1 VRAC)
3 RAM
4 RAM
 1 RAM + 1 VRAC
1 VRAC
1 RAM + 1 VRAC
3 RAM
1 RAM
VRAC
220
3
3
3
3
2
2
3
3
40ml
1
60
40
3
1
2
54
58
5
17
16
200
240
4
9
13
1
180
720
200
16
2
23
140
267
3 RAM
4
4
9
4
2000
21
5
1
2
51
2
10
4 RAM
7
1
3
3
70
91
157
97
92
"&amp;"94
214
34
90
98
174
554
1 596
101
67
22
7
1247
216
20
50
194
146
397
3
1
2
1
1
1
2
1
825
163
12
8
156
101
60
156
40
8
33
19
10
7
8
1
2
5
50
100
50
400
217
50
150
127
4
31
1
1
1
2
3
12
103
3
1
1
3
2
3 tasses 3 sous-coupe 
8
20
2 paires
2
50
2
46
40
4
2
6
4"&amp;"
3
5
9
5
4
120"")"),"400")</f>
        <v>400</v>
      </c>
    </row>
    <row r="212">
      <c r="A212" s="14" t="s">
        <v>437</v>
      </c>
      <c r="B212" s="14" t="s">
        <v>438</v>
      </c>
      <c r="C212" s="14">
        <v>217.0</v>
      </c>
      <c r="D212" s="14" t="s">
        <v>147</v>
      </c>
      <c r="E212" s="14" t="s">
        <v>416</v>
      </c>
      <c r="F212" s="22" t="str">
        <f>IFERROR(__xludf.DUMMYFUNCTION("AI(""70
42
2
3
14
34
10
10
8
23
8
3
1
1
7
12
29
24
24
4
17
5
4
1
1
8
198
34
9
11
8
11
24
2
31
3
4
12
10
56
21
20
160
100
6
22
21
50
47
1
56
120
2
1
75
270
900g
50g
40
100g
15
1
11
144
10
2
9
44
8
34
32
5
4
15
8
19
40
15
20
35
13
25
25
14
5
18
10
6
4
1
3
1"&amp;"
5 RAM
5 RAM (+1 VRAC)
3 RAM
4 RAM
 1 RAM + 1 VRAC
1 VRAC
1 RAM + 1 VRAC
3 RAM
1 RAM
VRAC
220
3
3
3
3
2
2
3
3
40ml
1
60
40
3
1
2
54
58
5
17
16
200
240
4
9
13
1
180
720
200
16
2
23
140
267
3 RAM
4
4
9
4
2000
21
5
1
2
51
2
10
4 RAM
7
1
3
3
70
91
157
97
92
"&amp;"94
214
34
90
98
174
554
1 596
101
67
22
7
1247
216
20
50
194
146
397
3
1
2
1
1
1
2
1
825
163
12
8
156
101
60
156
40
8
33
19
10
7
8
1
2
5
50
100
50
400
217
50
150
127
4
31
1
1
1
2
3
12
103
3
1
1
3
2
3 tasses 3 sous-coupe 
8
20
2 paires
2
50
2
46
40
4
2
6
4"&amp;"
3
5
9
5
4
120"")"),"217")</f>
        <v>217</v>
      </c>
    </row>
    <row r="213">
      <c r="A213" s="14" t="s">
        <v>439</v>
      </c>
      <c r="B213" s="14" t="s">
        <v>440</v>
      </c>
      <c r="C213" s="14">
        <v>50.0</v>
      </c>
      <c r="D213" s="14" t="s">
        <v>147</v>
      </c>
      <c r="E213" s="14" t="s">
        <v>416</v>
      </c>
      <c r="F213" s="22" t="str">
        <f>IFERROR(__xludf.DUMMYFUNCTION("AI(""70
42
2
3
14
34
10
10
8
23
8
3
1
1
7
12
29
24
24
4
17
5
4
1
1
8
198
34
9
11
8
11
24
2
31
3
4
12
10
56
21
20
160
100
6
22
21
50
47
1
56
120
2
1
75
270
900g
50g
40
100g
15
1
11
144
10
2
9
44
8
34
32
5
4
15
8
19
40
15
20
35
13
25
25
14
5
18
10
6
4
1
3
1"&amp;"
5 RAM
5 RAM (+1 VRAC)
3 RAM
4 RAM
 1 RAM + 1 VRAC
1 VRAC
1 RAM + 1 VRAC
3 RAM
1 RAM
VRAC
220
3
3
3
3
2
2
3
3
40ml
1
60
40
3
1
2
54
58
5
17
16
200
240
4
9
13
1
180
720
200
16
2
23
140
267
3 RAM
4
4
9
4
2000
21
5
1
2
51
2
10
4 RAM
7
1
3
3
70
91
157
97
92
"&amp;"94
214
34
90
98
174
554
1 596
101
67
22
7
1247
216
20
50
194
146
397
3
1
2
1
1
1
2
1
825
163
12
8
156
101
60
156
40
8
33
19
10
7
8
1
2
5
50
100
50
400
217
50
150
127
4
31
1
1
1
2
3
12
103
3
1
1
3
2
3 tasses 3 sous-coupe 
8
20
2 paires
2
50
2
46
40
4
2
6
4"&amp;"
3
5
9
5
4
120"")"),"50")</f>
        <v>50</v>
      </c>
    </row>
    <row r="214">
      <c r="A214" s="14" t="s">
        <v>441</v>
      </c>
      <c r="B214" s="14" t="s">
        <v>442</v>
      </c>
      <c r="C214" s="14">
        <v>150.0</v>
      </c>
      <c r="D214" s="14" t="s">
        <v>147</v>
      </c>
      <c r="E214" s="14" t="s">
        <v>416</v>
      </c>
      <c r="F214" s="22" t="str">
        <f>IFERROR(__xludf.DUMMYFUNCTION("AI(""70
42
2
3
14
34
10
10
8
23
8
3
1
1
7
12
29
24
24
4
17
5
4
1
1
8
198
34
9
11
8
11
24
2
31
3
4
12
10
56
21
20
160
100
6
22
21
50
47
1
56
120
2
1
75
270
900g
50g
40
100g
15
1
11
144
10
2
9
44
8
34
32
5
4
15
8
19
40
15
20
35
13
25
25
14
5
18
10
6
4
1
3
1"&amp;"
5 RAM
5 RAM (+1 VRAC)
3 RAM
4 RAM
 1 RAM + 1 VRAC
1 VRAC
1 RAM + 1 VRAC
3 RAM
1 RAM
VRAC
220
3
3
3
3
2
2
3
3
40ml
1
60
40
3
1
2
54
58
5
17
16
200
240
4
9
13
1
180
720
200
16
2
23
140
267
3 RAM
4
4
9
4
2000
21
5
1
2
51
2
10
4 RAM
7
1
3
3
70
91
157
97
92
"&amp;"94
214
34
90
98
174
554
1 596
101
67
22
7
1247
216
20
50
194
146
397
3
1
2
1
1
1
2
1
825
163
12
8
156
101
60
156
40
8
33
19
10
7
8
1
2
5
50
100
50
400
217
50
150
127
4
31
1
1
1
2
3
12
103
3
1
1
3
2
3 tasses 3 sous-coupe 
8
20
2 paires
2
50
2
46
40
4
2
6
4"&amp;"
3
5
9
5
4
120"")"),"150")</f>
        <v>150</v>
      </c>
    </row>
    <row r="215">
      <c r="A215" s="14" t="s">
        <v>443</v>
      </c>
      <c r="B215" s="14" t="s">
        <v>444</v>
      </c>
      <c r="C215" s="14">
        <v>127.0</v>
      </c>
      <c r="D215" s="14" t="s">
        <v>147</v>
      </c>
      <c r="E215" s="14" t="s">
        <v>416</v>
      </c>
      <c r="F215" s="22" t="str">
        <f>IFERROR(__xludf.DUMMYFUNCTION("AI(""70
42
2
3
14
34
10
10
8
23
8
3
1
1
7
12
29
24
24
4
17
5
4
1
1
8
198
34
9
11
8
11
24
2
31
3
4
12
10
56
21
20
160
100
6
22
21
50
47
1
56
120
2
1
75
270
900g
50g
40
100g
15
1
11
144
10
2
9
44
8
34
32
5
4
15
8
19
40
15
20
35
13
25
25
14
5
18
10
6
4
1
3
1"&amp;"
5 RAM
5 RAM (+1 VRAC)
3 RAM
4 RAM
 1 RAM + 1 VRAC
1 VRAC
1 RAM + 1 VRAC
3 RAM
1 RAM
VRAC
220
3
3
3
3
2
2
3
3
40ml
1
60
40
3
1
2
54
58
5
17
16
200
240
4
9
13
1
180
720
200
16
2
23
140
267
3 RAM
4
4
9
4
2000
21
5
1
2
51
2
10
4 RAM
7
1
3
3
70
91
157
97
92
"&amp;"94
214
34
90
98
174
554
1 596
101
67
22
7
1247
216
20
50
194
146
397
3
1
2
1
1
1
2
1
825
163
12
8
156
101
60
156
40
8
33
19
10
7
8
1
2
5
50
100
50
400
217
50
150
127
4
31
1
1
1
2
3
12
103
3
1
1
3
2
3 tasses 3 sous-coupe 
8
20
2 paires
2
50
2
46
40
4
2
6
4"&amp;"
3
5
9
5
4
120"")"),"127")</f>
        <v>127</v>
      </c>
    </row>
    <row r="216">
      <c r="A216" s="14" t="s">
        <v>445</v>
      </c>
      <c r="B216" s="14" t="s">
        <v>446</v>
      </c>
      <c r="C216" s="14">
        <v>4.0</v>
      </c>
      <c r="D216" s="14" t="s">
        <v>147</v>
      </c>
      <c r="E216" s="14" t="s">
        <v>416</v>
      </c>
      <c r="F216" s="22" t="str">
        <f>IFERROR(__xludf.DUMMYFUNCTION("AI(""70
42
2
3
14
34
10
10
8
23
8
3
1
1
7
12
29
24
24
4
17
5
4
1
1
8
198
34
9
11
8
11
24
2
31
3
4
12
10
56
21
20
160
100
6
22
21
50
47
1
56
120
2
1
75
270
900g
50g
40
100g
15
1
11
144
10
2
9
44
8
34
32
5
4
15
8
19
40
15
20
35
13
25
25
14
5
18
10
6
4
1
3
1"&amp;"
5 RAM
5 RAM (+1 VRAC)
3 RAM
4 RAM
 1 RAM + 1 VRAC
1 VRAC
1 RAM + 1 VRAC
3 RAM
1 RAM
VRAC
220
3
3
3
3
2
2
3
3
40ml
1
60
40
3
1
2
54
58
5
17
16
200
240
4
9
13
1
180
720
200
16
2
23
140
267
3 RAM
4
4
9
4
2000
21
5
1
2
51
2
10
4 RAM
7
1
3
3
70
91
157
97
92
"&amp;"94
214
34
90
98
174
554
1 596
101
67
22
7
1247
216
20
50
194
146
397
3
1
2
1
1
1
2
1
825
163
12
8
156
101
60
156
40
8
33
19
10
7
8
1
2
5
50
100
50
400
217
50
150
127
4
31
1
1
1
2
3
12
103
3
1
1
3
2
3 tasses 3 sous-coupe 
8
20
2 paires
2
50
2
46
40
4
2
6
4"&amp;"
3
5
9
5
4
120"")"),"4")</f>
        <v>4</v>
      </c>
    </row>
    <row r="217">
      <c r="A217" s="14" t="s">
        <v>447</v>
      </c>
      <c r="B217" s="14" t="s">
        <v>448</v>
      </c>
      <c r="C217" s="14">
        <v>31.0</v>
      </c>
      <c r="D217" s="14" t="s">
        <v>147</v>
      </c>
      <c r="E217" s="14" t="s">
        <v>416</v>
      </c>
      <c r="F217" s="22" t="str">
        <f>IFERROR(__xludf.DUMMYFUNCTION("AI(""70
42
2
3
14
34
10
10
8
23
8
3
1
1
7
12
29
24
24
4
17
5
4
1
1
8
198
34
9
11
8
11
24
2
31
3
4
12
10
56
21
20
160
100
6
22
21
50
47
1
56
120
2
1
75
270
900g
50g
40
100g
15
1
11
144
10
2
9
44
8
34
32
5
4
15
8
19
40
15
20
35
13
25
25
14
5
18
10
6
4
1
3
1"&amp;"
5 RAM
5 RAM (+1 VRAC)
3 RAM
4 RAM
 1 RAM + 1 VRAC
1 VRAC
1 RAM + 1 VRAC
3 RAM
1 RAM
VRAC
220
3
3
3
3
2
2
3
3
40ml
1
60
40
3
1
2
54
58
5
17
16
200
240
4
9
13
1
180
720
200
16
2
23
140
267
3 RAM
4
4
9
4
2000
21
5
1
2
51
2
10
4 RAM
7
1
3
3
70
91
157
97
92
"&amp;"94
214
34
90
98
174
554
1 596
101
67
22
7
1247
216
20
50
194
146
397
3
1
2
1
1
1
2
1
825
163
12
8
156
101
60
156
40
8
33
19
10
7
8
1
2
5
50
100
50
400
217
50
150
127
4
31
1
1
1
2
3
12
103
3
1
1
3
2
3 tasses 3 sous-coupe 
8
20
2 paires
2
50
2
46
40
4
2
6
4"&amp;"
3
5
9
5
4
120"")"),"31")</f>
        <v>31</v>
      </c>
    </row>
    <row r="218">
      <c r="A218" s="14" t="s">
        <v>449</v>
      </c>
      <c r="B218" s="14" t="s">
        <v>450</v>
      </c>
      <c r="C218" s="14">
        <v>1.0</v>
      </c>
      <c r="D218" s="14" t="s">
        <v>147</v>
      </c>
      <c r="E218" s="14" t="s">
        <v>416</v>
      </c>
      <c r="F218" s="22" t="str">
        <f>IFERROR(__xludf.DUMMYFUNCTION("AI(""70
42
2
3
14
34
10
10
8
23
8
3
1
1
7
12
29
24
24
4
17
5
4
1
1
8
198
34
9
11
8
11
24
2
31
3
4
12
10
56
21
20
160
100
6
22
21
50
47
1
56
120
2
1
75
270
900g
50g
40
100g
15
1
11
144
10
2
9
44
8
34
32
5
4
15
8
19
40
15
20
35
13
25
25
14
5
18
10
6
4
1
3
1"&amp;"
5 RAM
5 RAM (+1 VRAC)
3 RAM
4 RAM
 1 RAM + 1 VRAC
1 VRAC
1 RAM + 1 VRAC
3 RAM
1 RAM
VRAC
220
3
3
3
3
2
2
3
3
40ml
1
60
40
3
1
2
54
58
5
17
16
200
240
4
9
13
1
180
720
200
16
2
23
140
267
3 RAM
4
4
9
4
2000
21
5
1
2
51
2
10
4 RAM
7
1
3
3
70
91
157
97
92
"&amp;"94
214
34
90
98
174
554
1 596
101
67
22
7
1247
216
20
50
194
146
397
3
1
2
1
1
1
2
1
825
163
12
8
156
101
60
156
40
8
33
19
10
7
8
1
2
5
50
100
50
400
217
50
150
127
4
31
1
1
1
2
3
12
103
3
1
1
3
2
3 tasses 3 sous-coupe 
8
20
2 paires
2
50
2
46
40
4
2
6
4"&amp;"
3
5
9
5
4
120"")"),"1")</f>
        <v>1</v>
      </c>
    </row>
    <row r="219">
      <c r="A219" s="14" t="s">
        <v>451</v>
      </c>
      <c r="B219" s="14" t="s">
        <v>452</v>
      </c>
      <c r="C219" s="14">
        <v>1.0</v>
      </c>
      <c r="D219" s="14" t="s">
        <v>147</v>
      </c>
      <c r="E219" s="14" t="s">
        <v>416</v>
      </c>
      <c r="F219" s="22" t="str">
        <f>IFERROR(__xludf.DUMMYFUNCTION("AI(""70
42
2
3
14
34
10
10
8
23
8
3
1
1
7
12
29
24
24
4
17
5
4
1
1
8
198
34
9
11
8
11
24
2
31
3
4
12
10
56
21
20
160
100
6
22
21
50
47
1
56
120
2
1
75
270
900g
50g
40
100g
15
1
11
144
10
2
9
44
8
34
32
5
4
15
8
19
40
15
20
35
13
25
25
14
5
18
10
6
4
1
3
1"&amp;"
5 RAM
5 RAM (+1 VRAC)
3 RAM
4 RAM
 1 RAM + 1 VRAC
1 VRAC
1 RAM + 1 VRAC
3 RAM
1 RAM
VRAC
220
3
3
3
3
2
2
3
3
40ml
1
60
40
3
1
2
54
58
5
17
16
200
240
4
9
13
1
180
720
200
16
2
23
140
267
3 RAM
4
4
9
4
2000
21
5
1
2
51
2
10
4 RAM
7
1
3
3
70
91
157
97
92
"&amp;"94
214
34
90
98
174
554
1 596
101
67
22
7
1247
216
20
50
194
146
397
3
1
2
1
1
1
2
1
825
163
12
8
156
101
60
156
40
8
33
19
10
7
8
1
2
5
50
100
50
400
217
50
150
127
4
31
1
1
1
2
3
12
103
3
1
1
3
2
3 tasses 3 sous-coupe 
8
20
2 paires
2
50
2
46
40
4
2
6
4"&amp;"
3
5
9
5
4
120"")"),"1")</f>
        <v>1</v>
      </c>
    </row>
    <row r="220">
      <c r="A220" s="14" t="s">
        <v>453</v>
      </c>
      <c r="B220" s="14" t="s">
        <v>454</v>
      </c>
      <c r="C220" s="14">
        <v>1.0</v>
      </c>
      <c r="D220" s="14" t="s">
        <v>147</v>
      </c>
      <c r="E220" s="14" t="s">
        <v>416</v>
      </c>
      <c r="F220" s="22" t="str">
        <f>IFERROR(__xludf.DUMMYFUNCTION("AI(""70
42
2
3
14
34
10
10
8
23
8
3
1
1
7
12
29
24
24
4
17
5
4
1
1
8
198
34
9
11
8
11
24
2
31
3
4
12
10
56
21
20
160
100
6
22
21
50
47
1
56
120
2
1
75
270
900g
50g
40
100g
15
1
11
144
10
2
9
44
8
34
32
5
4
15
8
19
40
15
20
35
13
25
25
14
5
18
10
6
4
1
3
1"&amp;"
5 RAM
5 RAM (+1 VRAC)
3 RAM
4 RAM
 1 RAM + 1 VRAC
1 VRAC
1 RAM + 1 VRAC
3 RAM
1 RAM
VRAC
220
3
3
3
3
2
2
3
3
40ml
1
60
40
3
1
2
54
58
5
17
16
200
240
4
9
13
1
180
720
200
16
2
23
140
267
3 RAM
4
4
9
4
2000
21
5
1
2
51
2
10
4 RAM
7
1
3
3
70
91
157
97
92
"&amp;"94
214
34
90
98
174
554
1 596
101
67
22
7
1247
216
20
50
194
146
397
3
1
2
1
1
1
2
1
825
163
12
8
156
101
60
156
40
8
33
19
10
7
8
1
2
5
50
100
50
400
217
50
150
127
4
31
1
1
1
2
3
12
103
3
1
1
3
2
3 tasses 3 sous-coupe 
8
20
2 paires
2
50
2
46
40
4
2
6
4"&amp;"
3
5
9
5
4
120"")"),"1")</f>
        <v>1</v>
      </c>
    </row>
    <row r="221">
      <c r="A221" s="14" t="s">
        <v>455</v>
      </c>
      <c r="B221" s="42" t="s">
        <v>456</v>
      </c>
      <c r="C221" s="14">
        <v>2.0</v>
      </c>
      <c r="D221" s="14" t="s">
        <v>147</v>
      </c>
      <c r="E221" s="14" t="s">
        <v>416</v>
      </c>
      <c r="F221" s="22" t="str">
        <f>IFERROR(__xludf.DUMMYFUNCTION("AI(""70
42
2
3
14
34
10
10
8
23
8
3
1
1
7
12
29
24
24
4
17
5
4
1
1
8
198
34
9
11
8
11
24
2
31
3
4
12
10
56
21
20
160
100
6
22
21
50
47
1
56
120
2
1
75
270
900g
50g
40
100g
15
1
11
144
10
2
9
44
8
34
32
5
4
15
8
19
40
15
20
35
13
25
25
14
5
18
10
6
4
1
3
1"&amp;"
5 RAM
5 RAM (+1 VRAC)
3 RAM
4 RAM
 1 RAM + 1 VRAC
1 VRAC
1 RAM + 1 VRAC
3 RAM
1 RAM
VRAC
220
3
3
3
3
2
2
3
3
40ml
1
60
40
3
1
2
54
58
5
17
16
200
240
4
9
13
1
180
720
200
16
2
23
140
267
3 RAM
4
4
9
4
2000
21
5
1
2
51
2
10
4 RAM
7
1
3
3
70
91
157
97
92
"&amp;"94
214
34
90
98
174
554
1 596
101
67
22
7
1247
216
20
50
194
146
397
3
1
2
1
1
1
2
1
825
163
12
8
156
101
60
156
40
8
33
19
10
7
8
1
2
5
50
100
50
400
217
50
150
127
4
31
1
1
1
2
3
12
103
3
1
1
3
2
3 tasses 3 sous-coupe 
8
20
2 paires
2
50
2
46
40
4
2
6
4"&amp;"
3
5
9
5
4
120"")"),"2")</f>
        <v>2</v>
      </c>
    </row>
    <row r="222">
      <c r="A222" s="14" t="s">
        <v>457</v>
      </c>
      <c r="B222" s="14" t="s">
        <v>458</v>
      </c>
      <c r="C222" s="14">
        <v>3.0</v>
      </c>
      <c r="D222" s="14" t="s">
        <v>147</v>
      </c>
      <c r="E222" s="14" t="s">
        <v>416</v>
      </c>
      <c r="F222" s="22" t="str">
        <f>IFERROR(__xludf.DUMMYFUNCTION("AI(""70
42
2
3
14
34
10
10
8
23
8
3
1
1
7
12
29
24
24
4
17
5
4
1
1
8
198
34
9
11
8
11
24
2
31
3
4
12
10
56
21
20
160
100
6
22
21
50
47
1
56
120
2
1
75
270
900g
50g
40
100g
15
1
11
144
10
2
9
44
8
34
32
5
4
15
8
19
40
15
20
35
13
25
25
14
5
18
10
6
4
1
3
1"&amp;"
5 RAM
5 RAM (+1 VRAC)
3 RAM
4 RAM
 1 RAM + 1 VRAC
1 VRAC
1 RAM + 1 VRAC
3 RAM
1 RAM
VRAC
220
3
3
3
3
2
2
3
3
40ml
1
60
40
3
1
2
54
58
5
17
16
200
240
4
9
13
1
180
720
200
16
2
23
140
267
3 RAM
4
4
9
4
2000
21
5
1
2
51
2
10
4 RAM
7
1
3
3
70
91
157
97
92
"&amp;"94
214
34
90
98
174
554
1 596
101
67
22
7
1247
216
20
50
194
146
397
3
1
2
1
1
1
2
1
825
163
12
8
156
101
60
156
40
8
33
19
10
7
8
1
2
5
50
100
50
400
217
50
150
127
4
31
1
1
1
2
3
12
103
3
1
1
3
2
3 tasses 3 sous-coupe 
8
20
2 paires
2
50
2
46
40
4
2
6
4"&amp;"
3
5
9
5
4
120"")"),"3")</f>
        <v>3</v>
      </c>
    </row>
    <row r="223">
      <c r="A223" s="14" t="s">
        <v>459</v>
      </c>
      <c r="B223" s="14" t="s">
        <v>460</v>
      </c>
      <c r="C223" s="14">
        <v>12.0</v>
      </c>
      <c r="D223" s="14" t="s">
        <v>147</v>
      </c>
      <c r="E223" s="14" t="s">
        <v>416</v>
      </c>
      <c r="F223" s="22" t="str">
        <f>IFERROR(__xludf.DUMMYFUNCTION("AI(""70
42
2
3
14
34
10
10
8
23
8
3
1
1
7
12
29
24
24
4
17
5
4
1
1
8
198
34
9
11
8
11
24
2
31
3
4
12
10
56
21
20
160
100
6
22
21
50
47
1
56
120
2
1
75
270
900g
50g
40
100g
15
1
11
144
10
2
9
44
8
34
32
5
4
15
8
19
40
15
20
35
13
25
25
14
5
18
10
6
4
1
3
1"&amp;"
5 RAM
5 RAM (+1 VRAC)
3 RAM
4 RAM
 1 RAM + 1 VRAC
1 VRAC
1 RAM + 1 VRAC
3 RAM
1 RAM
VRAC
220
3
3
3
3
2
2
3
3
40ml
1
60
40
3
1
2
54
58
5
17
16
200
240
4
9
13
1
180
720
200
16
2
23
140
267
3 RAM
4
4
9
4
2000
21
5
1
2
51
2
10
4 RAM
7
1
3
3
70
91
157
97
92
"&amp;"94
214
34
90
98
174
554
1 596
101
67
22
7
1247
216
20
50
194
146
397
3
1
2
1
1
1
2
1
825
163
12
8
156
101
60
156
40
8
33
19
10
7
8
1
2
5
50
100
50
400
217
50
150
127
4
31
1
1
1
2
3
12
103
3
1
1
3
2
3 tasses 3 sous-coupe 
8
20
2 paires
2
50
2
46
40
4
2
6
4"&amp;"
3
5
9
5
4
120"")"),"12")</f>
        <v>12</v>
      </c>
    </row>
    <row r="224">
      <c r="A224" s="14" t="s">
        <v>461</v>
      </c>
      <c r="B224" s="14" t="s">
        <v>462</v>
      </c>
      <c r="C224" s="14">
        <v>103.0</v>
      </c>
      <c r="D224" s="14" t="s">
        <v>147</v>
      </c>
      <c r="E224" s="14" t="s">
        <v>416</v>
      </c>
      <c r="F224" s="22" t="str">
        <f>IFERROR(__xludf.DUMMYFUNCTION("AI(""70
42
2
3
14
34
10
10
8
23
8
3
1
1
7
12
29
24
24
4
17
5
4
1
1
8
198
34
9
11
8
11
24
2
31
3
4
12
10
56
21
20
160
100
6
22
21
50
47
1
56
120
2
1
75
270
900g
50g
40
100g
15
1
11
144
10
2
9
44
8
34
32
5
4
15
8
19
40
15
20
35
13
25
25
14
5
18
10
6
4
1
3
1"&amp;"
5 RAM
5 RAM (+1 VRAC)
3 RAM
4 RAM
 1 RAM + 1 VRAC
1 VRAC
1 RAM + 1 VRAC
3 RAM
1 RAM
VRAC
220
3
3
3
3
2
2
3
3
40ml
1
60
40
3
1
2
54
58
5
17
16
200
240
4
9
13
1
180
720
200
16
2
23
140
267
3 RAM
4
4
9
4
2000
21
5
1
2
51
2
10
4 RAM
7
1
3
3
70
91
157
97
92
"&amp;"94
214
34
90
98
174
554
1 596
101
67
22
7
1247
216
20
50
194
146
397
3
1
2
1
1
1
2
1
825
163
12
8
156
101
60
156
40
8
33
19
10
7
8
1
2
5
50
100
50
400
217
50
150
127
4
31
1
1
1
2
3
12
103
3
1
1
3
2
3 tasses 3 sous-coupe 
8
20
2 paires
2
50
2
46
40
4
2
6
4"&amp;"
3
5
9
5
4
120"")"),"103")</f>
        <v>103</v>
      </c>
    </row>
    <row r="225">
      <c r="A225" s="14" t="s">
        <v>463</v>
      </c>
      <c r="B225" s="14" t="s">
        <v>464</v>
      </c>
      <c r="C225" s="14">
        <v>3.0</v>
      </c>
      <c r="D225" s="14" t="s">
        <v>147</v>
      </c>
      <c r="E225" s="14" t="s">
        <v>416</v>
      </c>
      <c r="F225" s="22" t="str">
        <f>IFERROR(__xludf.DUMMYFUNCTION("AI(""70
42
2
3
14
34
10
10
8
23
8
3
1
1
7
12
29
24
24
4
17
5
4
1
1
8
198
34
9
11
8
11
24
2
31
3
4
12
10
56
21
20
160
100
6
22
21
50
47
1
56
120
2
1
75
270
900g
50g
40
100g
15
1
11
144
10
2
9
44
8
34
32
5
4
15
8
19
40
15
20
35
13
25
25
14
5
18
10
6
4
1
3
1"&amp;"
5 RAM
5 RAM (+1 VRAC)
3 RAM
4 RAM
 1 RAM + 1 VRAC
1 VRAC
1 RAM + 1 VRAC
3 RAM
1 RAM
VRAC
220
3
3
3
3
2
2
3
3
40ml
1
60
40
3
1
2
54
58
5
17
16
200
240
4
9
13
1
180
720
200
16
2
23
140
267
3 RAM
4
4
9
4
2000
21
5
1
2
51
2
10
4 RAM
7
1
3
3
70
91
157
97
92
"&amp;"94
214
34
90
98
174
554
1 596
101
67
22
7
1247
216
20
50
194
146
397
3
1
2
1
1
1
2
1
825
163
12
8
156
101
60
156
40
8
33
19
10
7
8
1
2
5
50
100
50
400
217
50
150
127
4
31
1
1
1
2
3
12
103
3
1
1
3
2
3 tasses 3 sous-coupe 
8
20
2 paires
2
50
2
46
40
4
2
6
4"&amp;"
3
5
9
5
4
120"")"),"3")</f>
        <v>3</v>
      </c>
    </row>
    <row r="226">
      <c r="A226" s="14" t="s">
        <v>465</v>
      </c>
      <c r="B226" s="14" t="s">
        <v>466</v>
      </c>
      <c r="C226" s="14">
        <v>1.0</v>
      </c>
      <c r="D226" s="14" t="s">
        <v>147</v>
      </c>
      <c r="E226" s="14" t="s">
        <v>416</v>
      </c>
      <c r="F226" s="22" t="str">
        <f>IFERROR(__xludf.DUMMYFUNCTION("AI(""70
42
2
3
14
34
10
10
8
23
8
3
1
1
7
12
29
24
24
4
17
5
4
1
1
8
198
34
9
11
8
11
24
2
31
3
4
12
10
56
21
20
160
100
6
22
21
50
47
1
56
120
2
1
75
270
900g
50g
40
100g
15
1
11
144
10
2
9
44
8
34
32
5
4
15
8
19
40
15
20
35
13
25
25
14
5
18
10
6
4
1
3
1"&amp;"
5 RAM
5 RAM (+1 VRAC)
3 RAM
4 RAM
 1 RAM + 1 VRAC
1 VRAC
1 RAM + 1 VRAC
3 RAM
1 RAM
VRAC
220
3
3
3
3
2
2
3
3
40ml
1
60
40
3
1
2
54
58
5
17
16
200
240
4
9
13
1
180
720
200
16
2
23
140
267
3 RAM
4
4
9
4
2000
21
5
1
2
51
2
10
4 RAM
7
1
3
3
70
91
157
97
92
"&amp;"94
214
34
90
98
174
554
1 596
101
67
22
7
1247
216
20
50
194
146
397
3
1
2
1
1
1
2
1
825
163
12
8
156
101
60
156
40
8
33
19
10
7
8
1
2
5
50
100
50
400
217
50
150
127
4
31
1
1
1
2
3
12
103
3
1
1
3
2
3 tasses 3 sous-coupe 
8
20
2 paires
2
50
2
46
40
4
2
6
4"&amp;"
3
5
9
5
4
120"")"),"1")</f>
        <v>1</v>
      </c>
    </row>
    <row r="227">
      <c r="A227" s="14" t="s">
        <v>467</v>
      </c>
      <c r="B227" s="14" t="s">
        <v>468</v>
      </c>
      <c r="C227" s="14">
        <v>1.0</v>
      </c>
      <c r="D227" s="14" t="s">
        <v>147</v>
      </c>
      <c r="E227" s="14" t="s">
        <v>416</v>
      </c>
      <c r="F227" s="22" t="str">
        <f>IFERROR(__xludf.DUMMYFUNCTION("AI(""70
42
2
3
14
34
10
10
8
23
8
3
1
1
7
12
29
24
24
4
17
5
4
1
1
8
198
34
9
11
8
11
24
2
31
3
4
12
10
56
21
20
160
100
6
22
21
50
47
1
56
120
2
1
75
270
900g
50g
40
100g
15
1
11
144
10
2
9
44
8
34
32
5
4
15
8
19
40
15
20
35
13
25
25
14
5
18
10
6
4
1
3
1"&amp;"
5 RAM
5 RAM (+1 VRAC)
3 RAM
4 RAM
 1 RAM + 1 VRAC
1 VRAC
1 RAM + 1 VRAC
3 RAM
1 RAM
VRAC
220
3
3
3
3
2
2
3
3
40ml
1
60
40
3
1
2
54
58
5
17
16
200
240
4
9
13
1
180
720
200
16
2
23
140
267
3 RAM
4
4
9
4
2000
21
5
1
2
51
2
10
4 RAM
7
1
3
3
70
91
157
97
92
"&amp;"94
214
34
90
98
174
554
1 596
101
67
22
7
1247
216
20
50
194
146
397
3
1
2
1
1
1
2
1
825
163
12
8
156
101
60
156
40
8
33
19
10
7
8
1
2
5
50
100
50
400
217
50
150
127
4
31
1
1
1
2
3
12
103
3
1
1
3
2
3 tasses 3 sous-coupe 
8
20
2 paires
2
50
2
46
40
4
2
6
4"&amp;"
3
5
9
5
4
120"")"),"1")</f>
        <v>1</v>
      </c>
    </row>
    <row r="228">
      <c r="A228" s="14" t="s">
        <v>469</v>
      </c>
      <c r="B228" s="14" t="s">
        <v>470</v>
      </c>
      <c r="C228" s="14">
        <v>3.0</v>
      </c>
      <c r="D228" s="14" t="s">
        <v>147</v>
      </c>
      <c r="E228" s="14" t="s">
        <v>416</v>
      </c>
      <c r="F228" s="22" t="str">
        <f>IFERROR(__xludf.DUMMYFUNCTION("AI(""70
42
2
3
14
34
10
10
8
23
8
3
1
1
7
12
29
24
24
4
17
5
4
1
1
8
198
34
9
11
8
11
24
2
31
3
4
12
10
56
21
20
160
100
6
22
21
50
47
1
56
120
2
1
75
270
900g
50g
40
100g
15
1
11
144
10
2
9
44
8
34
32
5
4
15
8
19
40
15
20
35
13
25
25
14
5
18
10
6
4
1
3
1"&amp;"
5 RAM
5 RAM (+1 VRAC)
3 RAM
4 RAM
 1 RAM + 1 VRAC
1 VRAC
1 RAM + 1 VRAC
3 RAM
1 RAM
VRAC
220
3
3
3
3
2
2
3
3
40ml
1
60
40
3
1
2
54
58
5
17
16
200
240
4
9
13
1
180
720
200
16
2
23
140
267
3 RAM
4
4
9
4
2000
21
5
1
2
51
2
10
4 RAM
7
1
3
3
70
91
157
97
92
"&amp;"94
214
34
90
98
174
554
1 596
101
67
22
7
1247
216
20
50
194
146
397
3
1
2
1
1
1
2
1
825
163
12
8
156
101
60
156
40
8
33
19
10
7
8
1
2
5
50
100
50
400
217
50
150
127
4
31
1
1
1
2
3
12
103
3
1
1
3
2
3 tasses 3 sous-coupe 
8
20
2 paires
2
50
2
46
40
4
2
6
4"&amp;"
3
5
9
5
4
120"")"),"3")</f>
        <v>3</v>
      </c>
    </row>
    <row r="229">
      <c r="A229" s="14" t="s">
        <v>471</v>
      </c>
      <c r="B229" s="14" t="s">
        <v>472</v>
      </c>
      <c r="C229" s="14">
        <v>2.0</v>
      </c>
      <c r="D229" s="14" t="s">
        <v>415</v>
      </c>
      <c r="E229" s="14" t="s">
        <v>473</v>
      </c>
      <c r="F229" s="22" t="str">
        <f>IFERROR(__xludf.DUMMYFUNCTION("AI(""70
42
2
3
14
34
10
10
8
23
8
3
1
1
7
12
29
24
24
4
17
5
4
1
1
8
198
34
9
11
8
11
24
2
31
3
4
12
10
56
21
20
160
100
6
22
21
50
47
1
56
120
2
1
75
270
900g
50g
40
100g
15
1
11
144
10
2
9
44
8
34
32
5
4
15
8
19
40
15
20
35
13
25
25
14
5
18
10
6
4
1
3
1"&amp;"
5 RAM
5 RAM (+1 VRAC)
3 RAM
4 RAM
 1 RAM + 1 VRAC
1 VRAC
1 RAM + 1 VRAC
3 RAM
1 RAM
VRAC
220
3
3
3
3
2
2
3
3
40ml
1
60
40
3
1
2
54
58
5
17
16
200
240
4
9
13
1
180
720
200
16
2
23
140
267
3 RAM
4
4
9
4
2000
21
5
1
2
51
2
10
4 RAM
7
1
3
3
70
91
157
97
92
"&amp;"94
214
34
90
98
174
554
1 596
101
67
22
7
1247
216
20
50
194
146
397
3
1
2
1
1
1
2
1
825
163
12
8
156
101
60
156
40
8
33
19
10
7
8
1
2
5
50
100
50
400
217
50
150
127
4
31
1
1
1
2
3
12
103
3
1
1
3
2
3 tasses 3 sous-coupe 
8
20
2 paires
2
50
2
46
40
4
2
6
4"&amp;"
3
5
9
5
4
120"")"),"2")</f>
        <v>2</v>
      </c>
    </row>
    <row r="230">
      <c r="A230" s="14" t="s">
        <v>474</v>
      </c>
      <c r="B230" s="14" t="s">
        <v>475</v>
      </c>
      <c r="C230" s="14">
        <v>6.0</v>
      </c>
      <c r="D230" s="14" t="s">
        <v>415</v>
      </c>
      <c r="E230" s="14" t="s">
        <v>473</v>
      </c>
      <c r="F230" s="14">
        <v>6.0</v>
      </c>
    </row>
    <row r="231">
      <c r="A231" s="14" t="s">
        <v>476</v>
      </c>
      <c r="B231" s="14" t="s">
        <v>477</v>
      </c>
      <c r="C231" s="14">
        <v>8.0</v>
      </c>
      <c r="D231" s="14" t="s">
        <v>415</v>
      </c>
      <c r="E231" s="14" t="s">
        <v>473</v>
      </c>
      <c r="F231" s="22" t="str">
        <f>IFERROR(__xludf.DUMMYFUNCTION("AI(""70
42
2
3
14
34
10
10
8
23
8
3
1
1
7
12
29
24
24
4
17
5
4
1
1
8
198
34
9
11
8
11
24
2
31
3
4
12
10
56
21
20
160
100
6
22
21
50
47
1
56
120
2
1
75
270
900g
50g
40
100g
15
1
11
144
10
2
9
44
8
34
32
5
4
15
8
19
40
15
20
35
13
25
25
14
5
18
10
6
4
1
3
1"&amp;"
5 RAM
5 RAM (+1 VRAC)
3 RAM
4 RAM
 1 RAM + 1 VRAC
1 VRAC
1 RAM + 1 VRAC
3 RAM
1 RAM
VRAC
220
3
3
3
3
2
2
3
3
40ml
1
60
40
3
1
2
54
58
5
17
16
200
240
4
9
13
1
180
720
200
16
2
23
140
267
3 RAM
4
4
9
4
2000
21
5
1
2
51
2
10
4 RAM
7
1
3
3
70
91
157
97
92
"&amp;"94
214
34
90
98
174
554
1 596
101
67
22
7
1247
216
20
50
194
146
397
3
1
2
1
1
1
2
1
825
163
12
8
156
101
60
156
40
8
33
19
10
7
8
1
2
5
50
100
50
400
217
50
150
127
4
31
1
1
1
2
3
12
103
3
1
1
3
2
3 tasses 3 sous-coupe 
8
20
2 paires
2
50
2
46
40
4
2
6
4"&amp;"
3
5
9
5
4
120"")"),"8")</f>
        <v>8</v>
      </c>
    </row>
    <row r="232">
      <c r="A232" s="14" t="s">
        <v>478</v>
      </c>
      <c r="B232" s="14" t="s">
        <v>479</v>
      </c>
      <c r="C232" s="14">
        <v>20.0</v>
      </c>
      <c r="D232" s="14" t="s">
        <v>480</v>
      </c>
      <c r="E232" s="14" t="s">
        <v>481</v>
      </c>
      <c r="F232" s="22" t="str">
        <f>IFERROR(__xludf.DUMMYFUNCTION("AI(""70
42
2
3
14
34
10
10
8
23
8
3
1
1
7
12
29
24
24
4
17
5
4
1
1
8
198
34
9
11
8
11
24
2
31
3
4
12
10
56
21
20
160
100
6
22
21
50
47
1
56
120
2
1
75
270
900g
50g
40
100g
15
1
11
144
10
2
9
44
8
34
32
5
4
15
8
19
40
15
20
35
13
25
25
14
5
18
10
6
4
1
3
1"&amp;"
5 RAM
5 RAM (+1 VRAC)
3 RAM
4 RAM
 1 RAM + 1 VRAC
1 VRAC
1 RAM + 1 VRAC
3 RAM
1 RAM
VRAC
220
3
3
3
3
2
2
3
3
40ml
1
60
40
3
1
2
54
58
5
17
16
200
240
4
9
13
1
180
720
200
16
2
23
140
267
3 RAM
4
4
9
4
2000
21
5
1
2
51
2
10
4 RAM
7
1
3
3
70
91
157
97
92
"&amp;"94
214
34
90
98
174
554
1 596
101
67
22
7
1247
216
20
50
194
146
397
3
1
2
1
1
1
2
1
825
163
12
8
156
101
60
156
40
8
33
19
10
7
8
1
2
5
50
100
50
400
217
50
150
127
4
31
1
1
1
2
3
12
103
3
1
1
3
2
3 tasses 3 sous-coupe 
8
20
2 paires
2
50
2
46
40
4
2
6
4"&amp;"
3
5
9
5
4
120"")"),"20")</f>
        <v>20</v>
      </c>
    </row>
    <row r="233">
      <c r="A233" s="14" t="s">
        <v>482</v>
      </c>
      <c r="B233" s="14" t="s">
        <v>483</v>
      </c>
      <c r="C233" s="14">
        <v>2.0</v>
      </c>
      <c r="D233" s="14" t="s">
        <v>480</v>
      </c>
      <c r="E233" s="14" t="s">
        <v>473</v>
      </c>
      <c r="F233" s="14">
        <v>2.0</v>
      </c>
    </row>
    <row r="234">
      <c r="A234" s="43" t="s">
        <v>484</v>
      </c>
      <c r="B234" s="43" t="s">
        <v>485</v>
      </c>
      <c r="C234" s="14">
        <v>2.0</v>
      </c>
      <c r="D234" s="43" t="s">
        <v>415</v>
      </c>
      <c r="E234" s="43" t="s">
        <v>481</v>
      </c>
      <c r="F234" s="22" t="str">
        <f>IFERROR(__xludf.DUMMYFUNCTION("AI(""70
42
2
3
14
34
10
10
8
23
8
3
1
1
7
12
29
24
24
4
17
5
4
1
1
8
198
34
9
11
8
11
24
2
31
3
4
12
10
56
21
20
160
100
6
22
21
50
47
1
56
120
2
1
75
270
900g
50g
40
100g
15
1
11
144
10
2
9
44
8
34
32
5
4
15
8
19
40
15
20
35
13
25
25
14
5
18
10
6
4
1
3
1"&amp;"
5 RAM
5 RAM (+1 VRAC)
3 RAM
4 RAM
 1 RAM + 1 VRAC
1 VRAC
1 RAM + 1 VRAC
3 RAM
1 RAM
VRAC
220
3
3
3
3
2
2
3
3
40ml
1
60
40
3
1
2
54
58
5
17
16
200
240
4
9
13
1
180
720
200
16
2
23
140
267
3 RAM
4
4
9
4
2000
21
5
1
2
51
2
10
4 RAM
7
1
3
3
70
91
157
97
92
"&amp;"94
214
34
90
98
174
554
1 596
101
67
22
7
1247
216
20
50
194
146
397
3
1
2
1
1
1
2
1
825
163
12
8
156
101
60
156
40
8
33
19
10
7
8
1
2
5
50
100
50
400
217
50
150
127
4
31
1
1
1
2
3
12
103
3
1
1
3
2
3 tasses 3 sous-coupe 
8
20
2 paires
2
50
2
46
40
4
2
6
4"&amp;"
3
5
9
5
4
120"")"),"2")</f>
        <v>2</v>
      </c>
    </row>
    <row r="235">
      <c r="A235" s="43" t="s">
        <v>486</v>
      </c>
      <c r="B235" s="43" t="s">
        <v>487</v>
      </c>
      <c r="C235" s="14">
        <v>50.0</v>
      </c>
      <c r="D235" s="43" t="s">
        <v>147</v>
      </c>
      <c r="E235" s="43" t="s">
        <v>481</v>
      </c>
      <c r="F235" s="22" t="str">
        <f>IFERROR(__xludf.DUMMYFUNCTION("AI(""70
42
2
3
14
34
10
10
8
23
8
3
1
1
7
12
29
24
24
4
17
5
4
1
1
8
198
34
9
11
8
11
24
2
31
3
4
12
10
56
21
20
160
100
6
22
21
50
47
1
56
120
2
1
75
270
900g
50g
40
100g
15
1
11
144
10
2
9
44
8
34
32
5
4
15
8
19
40
15
20
35
13
25
25
14
5
18
10
6
4
1
3
1"&amp;"
5 RAM
5 RAM (+1 VRAC)
3 RAM
4 RAM
 1 RAM + 1 VRAC
1 VRAC
1 RAM + 1 VRAC
3 RAM
1 RAM
VRAC
220
3
3
3
3
2
2
3
3
40ml
1
60
40
3
1
2
54
58
5
17
16
200
240
4
9
13
1
180
720
200
16
2
23
140
267
3 RAM
4
4
9
4
2000
21
5
1
2
51
2
10
4 RAM
7
1
3
3
70
91
157
97
92
"&amp;"94
214
34
90
98
174
554
1 596
101
67
22
7
1247
216
20
50
194
146
397
3
1
2
1
1
1
2
1
825
163
12
8
156
101
60
156
40
8
33
19
10
7
8
1
2
5
50
100
50
400
217
50
150
127
4
31
1
1
1
2
3
12
103
3
1
1
3
2
3 tasses 3 sous-coupe 
8
20
2 paires
2
50
2
46
40
4
2
6
4"&amp;"
3
5
9
5
4
120"")"),"50")</f>
        <v>50</v>
      </c>
    </row>
    <row r="236">
      <c r="A236" s="43" t="s">
        <v>488</v>
      </c>
      <c r="B236" s="43" t="s">
        <v>489</v>
      </c>
      <c r="C236" s="43">
        <v>2.0</v>
      </c>
      <c r="D236" s="43" t="s">
        <v>415</v>
      </c>
      <c r="E236" s="43" t="s">
        <v>481</v>
      </c>
      <c r="F236" s="22" t="str">
        <f>IFERROR(__xludf.DUMMYFUNCTION("AI(""70
42
2
3
14
34
10
10
8
23
8
3
1
1
7
12
29
24
24
4
17
5
4
1
1
8
198
34
9
11
8
11
24
2
31
3
4
12
10
56
21
20
160
100
6
22
21
50
47
1
56
120
2
1
75
270
900g
50g
40
100g
15
1
11
144
10
2
9
44
8
34
32
5
4
15
8
19
40
15
20
35
13
25
25
14
5
18
10
6
4
1
3
1"&amp;"
5 RAM
5 RAM (+1 VRAC)
3 RAM
4 RAM
 1 RAM + 1 VRAC
1 VRAC
1 RAM + 1 VRAC
3 RAM
1 RAM
VRAC
220
3
3
3
3
2
2
3
3
40ml
1
60
40
3
1
2
54
58
5
17
16
200
240
4
9
13
1
180
720
200
16
2
23
140
267
3 RAM
4
4
9
4
2000
21
5
1
2
51
2
10
4 RAM
7
1
3
3
70
91
157
97
92
"&amp;"94
214
34
90
98
174
554
1 596
101
67
22
7
1247
216
20
50
194
146
397
3
1
2
1
1
1
2
1
825
163
12
8
156
101
60
156
40
8
33
19
10
7
8
1
2
5
50
100
50
400
217
50
150
127
4
31
1
1
1
2
3
12
103
3
1
1
3
2
3 tasses 3 sous-coupe 
8
20
2 paires
2
50
2
46
40
4
2
6
4"&amp;"
3
5
9
5
4
120"")"),"2")</f>
        <v>2</v>
      </c>
    </row>
    <row r="237">
      <c r="A237" s="14" t="s">
        <v>490</v>
      </c>
      <c r="B237" s="14" t="s">
        <v>491</v>
      </c>
      <c r="C237" s="14">
        <v>46.0</v>
      </c>
      <c r="D237" s="14" t="s">
        <v>480</v>
      </c>
      <c r="E237" s="14" t="s">
        <v>473</v>
      </c>
      <c r="F237" s="22" t="str">
        <f>IFERROR(__xludf.DUMMYFUNCTION("AI(""70
42
2
3
14
34
10
10
8
23
8
3
1
1
7
12
29
24
24
4
17
5
4
1
1
8
198
34
9
11
8
11
24
2
31
3
4
12
10
56
21
20
160
100
6
22
21
50
47
1
56
120
2
1
75
270
900g
50g
40
100g
15
1
11
144
10
2
9
44
8
34
32
5
4
15
8
19
40
15
20
35
13
25
25
14
5
18
10
6
4
1
3
1"&amp;"
5 RAM
5 RAM (+1 VRAC)
3 RAM
4 RAM
 1 RAM + 1 VRAC
1 VRAC
1 RAM + 1 VRAC
3 RAM
1 RAM
VRAC
220
3
3
3
3
2
2
3
3
40ml
1
60
40
3
1
2
54
58
5
17
16
200
240
4
9
13
1
180
720
200
16
2
23
140
267
3 RAM
4
4
9
4
2000
21
5
1
2
51
2
10
4 RAM
7
1
3
3
70
91
157
97
92
"&amp;"94
214
34
90
98
174
554
1 596
101
67
22
7
1247
216
20
50
194
146
397
3
1
2
1
1
1
2
1
825
163
12
8
156
101
60
156
40
8
33
19
10
7
8
1
2
5
50
100
50
400
217
50
150
127
4
31
1
1
1
2
3
12
103
3
1
1
3
2
3 tasses 3 sous-coupe 
8
20
2 paires
2
50
2
46
40
4
2
6
4"&amp;"
3
5
9
5
4
120"")"),"46")</f>
        <v>46</v>
      </c>
    </row>
    <row r="238">
      <c r="A238" s="14" t="s">
        <v>492</v>
      </c>
      <c r="B238" s="14" t="s">
        <v>493</v>
      </c>
      <c r="C238" s="14">
        <v>40.0</v>
      </c>
      <c r="D238" s="14" t="s">
        <v>415</v>
      </c>
      <c r="E238" s="14" t="s">
        <v>481</v>
      </c>
      <c r="F238" s="22" t="str">
        <f>IFERROR(__xludf.DUMMYFUNCTION("AI(""70
42
2
3
14
34
10
10
8
23
8
3
1
1
7
12
29
24
24
4
17
5
4
1
1
8
198
34
9
11
8
11
24
2
31
3
4
12
10
56
21
20
160
100
6
22
21
50
47
1
56
120
2
1
75
270
900g
50g
40
100g
15
1
11
144
10
2
9
44
8
34
32
5
4
15
8
19
40
15
20
35
13
25
25
14
5
18
10
6
4
1
3
1"&amp;"
5 RAM
5 RAM (+1 VRAC)
3 RAM
4 RAM
 1 RAM + 1 VRAC
1 VRAC
1 RAM + 1 VRAC
3 RAM
1 RAM
VRAC
220
3
3
3
3
2
2
3
3
40ml
1
60
40
3
1
2
54
58
5
17
16
200
240
4
9
13
1
180
720
200
16
2
23
140
267
3 RAM
4
4
9
4
2000
21
5
1
2
51
2
10
4 RAM
7
1
3
3
70
91
157
97
92
"&amp;"94
214
34
90
98
174
554
1 596
101
67
22
7
1247
216
20
50
194
146
397
3
1
2
1
1
1
2
1
825
163
12
8
156
101
60
156
40
8
33
19
10
7
8
1
2
5
50
100
50
400
217
50
150
127
4
31
1
1
1
2
3
12
103
3
1
1
3
2
3 tasses 3 sous-coupe 
8
20
2 paires
2
50
2
46
40
4
2
6
4"&amp;"
3
5
9
5
4
120"")"),"40")</f>
        <v>40</v>
      </c>
    </row>
    <row r="239">
      <c r="A239" s="14" t="s">
        <v>494</v>
      </c>
      <c r="B239" s="14" t="s">
        <v>495</v>
      </c>
      <c r="C239" s="14">
        <v>4.0</v>
      </c>
      <c r="D239" s="14" t="s">
        <v>480</v>
      </c>
      <c r="E239" s="14" t="s">
        <v>473</v>
      </c>
      <c r="F239" s="22" t="str">
        <f>IFERROR(__xludf.DUMMYFUNCTION("AI(""70
42
2
3
14
34
10
10
8
23
8
3
1
1
7
12
29
24
24
4
17
5
4
1
1
8
198
34
9
11
8
11
24
2
31
3
4
12
10
56
21
20
160
100
6
22
21
50
47
1
56
120
2
1
75
270
900g
50g
40
100g
15
1
11
144
10
2
9
44
8
34
32
5
4
15
8
19
40
15
20
35
13
25
25
14
5
18
10
6
4
1
3
1"&amp;"
5 RAM
5 RAM (+1 VRAC)
3 RAM
4 RAM
 1 RAM + 1 VRAC
1 VRAC
1 RAM + 1 VRAC
3 RAM
1 RAM
VRAC
220
3
3
3
3
2
2
3
3
40ml
1
60
40
3
1
2
54
58
5
17
16
200
240
4
9
13
1
180
720
200
16
2
23
140
267
3 RAM
4
4
9
4
2000
21
5
1
2
51
2
10
4 RAM
7
1
3
3
70
91
157
97
92
"&amp;"94
214
34
90
98
174
554
1 596
101
67
22
7
1247
216
20
50
194
146
397
3
1
2
1
1
1
2
1
825
163
12
8
156
101
60
156
40
8
33
19
10
7
8
1
2
5
50
100
50
400
217
50
150
127
4
31
1
1
1
2
3
12
103
3
1
1
3
2
3 tasses 3 sous-coupe 
8
20
2 paires
2
50
2
46
40
4
2
6
4"&amp;"
3
5
9
5
4
120"")"),"4")</f>
        <v>4</v>
      </c>
    </row>
    <row r="240">
      <c r="A240" s="14" t="s">
        <v>496</v>
      </c>
      <c r="B240" s="14" t="s">
        <v>497</v>
      </c>
      <c r="C240" s="14">
        <v>2.0</v>
      </c>
      <c r="D240" s="14" t="s">
        <v>480</v>
      </c>
      <c r="E240" s="14" t="s">
        <v>473</v>
      </c>
      <c r="F240" s="22" t="str">
        <f>IFERROR(__xludf.DUMMYFUNCTION("AI(""70
42
2
3
14
34
10
10
8
23
8
3
1
1
7
12
29
24
24
4
17
5
4
1
1
8
198
34
9
11
8
11
24
2
31
3
4
12
10
56
21
20
160
100
6
22
21
50
47
1
56
120
2
1
75
270
900g
50g
40
100g
15
1
11
144
10
2
9
44
8
34
32
5
4
15
8
19
40
15
20
35
13
25
25
14
5
18
10
6
4
1
3
1"&amp;"
5 RAM
5 RAM (+1 VRAC)
3 RAM
4 RAM
 1 RAM + 1 VRAC
1 VRAC
1 RAM + 1 VRAC
3 RAM
1 RAM
VRAC
220
3
3
3
3
2
2
3
3
40ml
1
60
40
3
1
2
54
58
5
17
16
200
240
4
9
13
1
180
720
200
16
2
23
140
267
3 RAM
4
4
9
4
2000
21
5
1
2
51
2
10
4 RAM
7
1
3
3
70
91
157
97
92
"&amp;"94
214
34
90
98
174
554
1 596
101
67
22
7
1247
216
20
50
194
146
397
3
1
2
1
1
1
2
1
825
163
12
8
156
101
60
156
40
8
33
19
10
7
8
1
2
5
50
100
50
400
217
50
150
127
4
31
1
1
1
2
3
12
103
3
1
1
3
2
3 tasses 3 sous-coupe 
8
20
2 paires
2
50
2
46
40
4
2
6
4"&amp;"
3
5
9
5
4
120"")"),"2")</f>
        <v>2</v>
      </c>
    </row>
    <row r="241">
      <c r="A241" s="14" t="s">
        <v>498</v>
      </c>
      <c r="B241" s="14" t="s">
        <v>499</v>
      </c>
      <c r="C241" s="14">
        <v>6.0</v>
      </c>
      <c r="D241" s="14" t="s">
        <v>480</v>
      </c>
      <c r="E241" s="14" t="s">
        <v>473</v>
      </c>
      <c r="F241" s="22" t="str">
        <f>IFERROR(__xludf.DUMMYFUNCTION("AI(""70
42
2
3
14
34
10
10
8
23
8
3
1
1
7
12
29
24
24
4
17
5
4
1
1
8
198
34
9
11
8
11
24
2
31
3
4
12
10
56
21
20
160
100
6
22
21
50
47
1
56
120
2
1
75
270
900g
50g
40
100g
15
1
11
144
10
2
9
44
8
34
32
5
4
15
8
19
40
15
20
35
13
25
25
14
5
18
10
6
4
1
3
1"&amp;"
5 RAM
5 RAM (+1 VRAC)
3 RAM
4 RAM
 1 RAM + 1 VRAC
1 VRAC
1 RAM + 1 VRAC
3 RAM
1 RAM
VRAC
220
3
3
3
3
2
2
3
3
40ml
1
60
40
3
1
2
54
58
5
17
16
200
240
4
9
13
1
180
720
200
16
2
23
140
267
3 RAM
4
4
9
4
2000
21
5
1
2
51
2
10
4 RAM
7
1
3
3
70
91
157
97
92
"&amp;"94
214
34
90
98
174
554
1 596
101
67
22
7
1247
216
20
50
194
146
397
3
1
2
1
1
1
2
1
825
163
12
8
156
101
60
156
40
8
33
19
10
7
8
1
2
5
50
100
50
400
217
50
150
127
4
31
1
1
1
2
3
12
103
3
1
1
3
2
3 tasses 3 sous-coupe 
8
20
2 paires
2
50
2
46
40
4
2
6
4"&amp;"
3
5
9
5
4
120"")"),"6")</f>
        <v>6</v>
      </c>
    </row>
    <row r="242">
      <c r="A242" s="14" t="s">
        <v>500</v>
      </c>
      <c r="B242" s="14" t="s">
        <v>501</v>
      </c>
      <c r="C242" s="14">
        <v>4.0</v>
      </c>
      <c r="D242" s="14" t="s">
        <v>147</v>
      </c>
      <c r="E242" s="14" t="s">
        <v>502</v>
      </c>
      <c r="F242" s="22" t="str">
        <f>IFERROR(__xludf.DUMMYFUNCTION("AI(""70
42
2
3
14
34
10
10
8
23
8
3
1
1
7
12
29
24
24
4
17
5
4
1
1
8
198
34
9
11
8
11
24
2
31
3
4
12
10
56
21
20
160
100
6
22
21
50
47
1
56
120
2
1
75
270
900g
50g
40
100g
15
1
11
144
10
2
9
44
8
34
32
5
4
15
8
19
40
15
20
35
13
25
25
14
5
18
10
6
4
1
3
1"&amp;"
5 RAM
5 RAM (+1 VRAC)
3 RAM
4 RAM
 1 RAM + 1 VRAC
1 VRAC
1 RAM + 1 VRAC
3 RAM
1 RAM
VRAC
220
3
3
3
3
2
2
3
3
40ml
1
60
40
3
1
2
54
58
5
17
16
200
240
4
9
13
1
180
720
200
16
2
23
140
267
3 RAM
4
4
9
4
2000
21
5
1
2
51
2
10
4 RAM
7
1
3
3
70
91
157
97
92
"&amp;"94
214
34
90
98
174
554
1 596
101
67
22
7
1247
216
20
50
194
146
397
3
1
2
1
1
1
2
1
825
163
12
8
156
101
60
156
40
8
33
19
10
7
8
1
2
5
50
100
50
400
217
50
150
127
4
31
1
1
1
2
3
12
103
3
1
1
3
2
3 tasses 3 sous-coupe 
8
20
2 paires
2
50
2
46
40
4
2
6
4"&amp;"
3
5
9
5
4
120"")"),"4")</f>
        <v>4</v>
      </c>
    </row>
    <row r="243">
      <c r="A243" s="14" t="s">
        <v>503</v>
      </c>
      <c r="B243" s="14" t="s">
        <v>504</v>
      </c>
      <c r="C243" s="14">
        <v>3.0</v>
      </c>
      <c r="D243" s="14" t="s">
        <v>147</v>
      </c>
      <c r="E243" s="14" t="s">
        <v>505</v>
      </c>
      <c r="F243" s="22" t="str">
        <f>IFERROR(__xludf.DUMMYFUNCTION("AI(""70
42
2
3
14
34
10
10
8
23
8
3
1
1
7
12
29
24
24
4
17
5
4
1
1
8
198
34
9
11
8
11
24
2
31
3
4
12
10
56
21
20
160
100
6
22
21
50
47
1
56
120
2
1
75
270
900g
50g
40
100g
15
1
11
144
10
2
9
44
8
34
32
5
4
15
8
19
40
15
20
35
13
25
25
14
5
18
10
6
4
1
3
1"&amp;"
5 RAM
5 RAM (+1 VRAC)
3 RAM
4 RAM
 1 RAM + 1 VRAC
1 VRAC
1 RAM + 1 VRAC
3 RAM
1 RAM
VRAC
220
3
3
3
3
2
2
3
3
40ml
1
60
40
3
1
2
54
58
5
17
16
200
240
4
9
13
1
180
720
200
16
2
23
140
267
3 RAM
4
4
9
4
2000
21
5
1
2
51
2
10
4 RAM
7
1
3
3
70
91
157
97
92
"&amp;"94
214
34
90
98
174
554
1 596
101
67
22
7
1247
216
20
50
194
146
397
3
1
2
1
1
1
2
1
825
163
12
8
156
101
60
156
40
8
33
19
10
7
8
1
2
5
50
100
50
400
217
50
150
127
4
31
1
1
1
2
3
12
103
3
1
1
3
2
3 tasses 3 sous-coupe 
8
20
2 paires
2
50
2
46
40
4
2
6
4"&amp;"
3
5
9
5
4
120"")"),"3")</f>
        <v>3</v>
      </c>
    </row>
    <row r="244">
      <c r="A244" s="14" t="s">
        <v>506</v>
      </c>
      <c r="B244" s="14" t="s">
        <v>507</v>
      </c>
      <c r="C244" s="14">
        <v>5.0</v>
      </c>
      <c r="D244" s="14" t="s">
        <v>147</v>
      </c>
      <c r="E244" s="14" t="s">
        <v>505</v>
      </c>
      <c r="F244" s="22" t="str">
        <f>IFERROR(__xludf.DUMMYFUNCTION("AI(""70
42
2
3
14
34
10
10
8
23
8
3
1
1
7
12
29
24
24
4
17
5
4
1
1
8
198
34
9
11
8
11
24
2
31
3
4
12
10
56
21
20
160
100
6
22
21
50
47
1
56
120
2
1
75
270
900g
50g
40
100g
15
1
11
144
10
2
9
44
8
34
32
5
4
15
8
19
40
15
20
35
13
25
25
14
5
18
10
6
4
1
3
1"&amp;"
5 RAM
5 RAM (+1 VRAC)
3 RAM
4 RAM
 1 RAM + 1 VRAC
1 VRAC
1 RAM + 1 VRAC
3 RAM
1 RAM
VRAC
220
3
3
3
3
2
2
3
3
40ml
1
60
40
3
1
2
54
58
5
17
16
200
240
4
9
13
1
180
720
200
16
2
23
140
267
3 RAM
4
4
9
4
2000
21
5
1
2
51
2
10
4 RAM
7
1
3
3
70
91
157
97
92
"&amp;"94
214
34
90
98
174
554
1 596
101
67
22
7
1247
216
20
50
194
146
397
3
1
2
1
1
1
2
1
825
163
12
8
156
101
60
156
40
8
33
19
10
7
8
1
2
5
50
100
50
400
217
50
150
127
4
31
1
1
1
2
3
12
103
3
1
1
3
2
3 tasses 3 sous-coupe 
8
20
2 paires
2
50
2
46
40
4
2
6
4"&amp;"
3
5
9
5
4
120"")"),"5")</f>
        <v>5</v>
      </c>
    </row>
    <row r="245">
      <c r="A245" s="43" t="s">
        <v>508</v>
      </c>
      <c r="B245" s="43" t="s">
        <v>509</v>
      </c>
      <c r="C245" s="43">
        <v>9.0</v>
      </c>
      <c r="D245" s="14" t="s">
        <v>147</v>
      </c>
      <c r="E245" s="43" t="s">
        <v>502</v>
      </c>
      <c r="F245" s="22" t="str">
        <f>IFERROR(__xludf.DUMMYFUNCTION("AI(""70
42
2
3
14
34
10
10
8
23
8
3
1
1
7
12
29
24
24
4
17
5
4
1
1
8
198
34
9
11
8
11
24
2
31
3
4
12
10
56
21
20
160
100
6
22
21
50
47
1
56
120
2
1
75
270
900g
50g
40
100g
15
1
11
144
10
2
9
44
8
34
32
5
4
15
8
19
40
15
20
35
13
25
25
14
5
18
10
6
4
1
3
1"&amp;"
5 RAM
5 RAM (+1 VRAC)
3 RAM
4 RAM
 1 RAM + 1 VRAC
1 VRAC
1 RAM + 1 VRAC
3 RAM
1 RAM
VRAC
220
3
3
3
3
2
2
3
3
40ml
1
60
40
3
1
2
54
58
5
17
16
200
240
4
9
13
1
180
720
200
16
2
23
140
267
3 RAM
4
4
9
4
2000
21
5
1
2
51
2
10
4 RAM
7
1
3
3
70
91
157
97
92
"&amp;"94
214
34
90
98
174
554
1 596
101
67
22
7
1247
216
20
50
194
146
397
3
1
2
1
1
1
2
1
825
163
12
8
156
101
60
156
40
8
33
19
10
7
8
1
2
5
50
100
50
400
217
50
150
127
4
31
1
1
1
2
3
12
103
3
1
1
3
2
3 tasses 3 sous-coupe 
8
20
2 paires
2
50
2
46
40
4
2
6
4"&amp;"
3
5
9
5
4
120"")"),"9")</f>
        <v>9</v>
      </c>
    </row>
    <row r="246">
      <c r="A246" s="14" t="s">
        <v>510</v>
      </c>
      <c r="B246" s="14" t="s">
        <v>511</v>
      </c>
      <c r="C246" s="14">
        <v>5.0</v>
      </c>
      <c r="D246" s="14" t="s">
        <v>147</v>
      </c>
      <c r="E246" s="43" t="s">
        <v>502</v>
      </c>
      <c r="F246" s="22" t="str">
        <f>IFERROR(__xludf.DUMMYFUNCTION("AI(""70
42
2
3
14
34
10
10
8
23
8
3
1
1
7
12
29
24
24
4
17
5
4
1
1
8
198
34
9
11
8
11
24
2
31
3
4
12
10
56
21
20
160
100
6
22
21
50
47
1
56
120
2
1
75
270
900g
50g
40
100g
15
1
11
144
10
2
9
44
8
34
32
5
4
15
8
19
40
15
20
35
13
25
25
14
5
18
10
6
4
1
3
1"&amp;"
5 RAM
5 RAM (+1 VRAC)
3 RAM
4 RAM
 1 RAM + 1 VRAC
1 VRAC
1 RAM + 1 VRAC
3 RAM
1 RAM
VRAC
220
3
3
3
3
2
2
3
3
40ml
1
60
40
3
1
2
54
58
5
17
16
200
240
4
9
13
1
180
720
200
16
2
23
140
267
3 RAM
4
4
9
4
2000
21
5
1
2
51
2
10
4 RAM
7
1
3
3
70
91
157
97
92
"&amp;"94
214
34
90
98
174
554
1 596
101
67
22
7
1247
216
20
50
194
146
397
3
1
2
1
1
1
2
1
825
163
12
8
156
101
60
156
40
8
33
19
10
7
8
1
2
5
50
100
50
400
217
50
150
127
4
31
1
1
1
2
3
12
103
3
1
1
3
2
3 tasses 3 sous-coupe 
8
20
2 paires
2
50
2
46
40
4
2
6
4"&amp;"
3
5
9
5
4
120"")"),"5")</f>
        <v>5</v>
      </c>
    </row>
    <row r="247">
      <c r="A247" s="14" t="s">
        <v>512</v>
      </c>
      <c r="B247" s="14" t="s">
        <v>513</v>
      </c>
      <c r="C247" s="14">
        <v>4.0</v>
      </c>
      <c r="D247" s="14" t="s">
        <v>147</v>
      </c>
      <c r="E247" s="14" t="s">
        <v>505</v>
      </c>
      <c r="F247" s="22" t="str">
        <f>IFERROR(__xludf.DUMMYFUNCTION("AI(""70
42
2
3
14
34
10
10
8
23
8
3
1
1
7
12
29
24
24
4
17
5
4
1
1
8
198
34
9
11
8
11
24
2
31
3
4
12
10
56
21
20
160
100
6
22
21
50
47
1
56
120
2
1
75
270
900g
50g
40
100g
15
1
11
144
10
2
9
44
8
34
32
5
4
15
8
19
40
15
20
35
13
25
25
14
5
18
10
6
4
1
3
1"&amp;"
5 RAM
5 RAM (+1 VRAC)
3 RAM
4 RAM
 1 RAM + 1 VRAC
1 VRAC
1 RAM + 1 VRAC
3 RAM
1 RAM
VRAC
220
3
3
3
3
2
2
3
3
40ml
1
60
40
3
1
2
54
58
5
17
16
200
240
4
9
13
1
180
720
200
16
2
23
140
267
3 RAM
4
4
9
4
2000
21
5
1
2
51
2
10
4 RAM
7
1
3
3
70
91
157
97
92
"&amp;"94
214
34
90
98
174
554
1 596
101
67
22
7
1247
216
20
50
194
146
397
3
1
2
1
1
1
2
1
825
163
12
8
156
101
60
156
40
8
33
19
10
7
8
1
2
5
50
100
50
400
217
50
150
127
4
31
1
1
1
2
3
12
103
3
1
1
3
2
3 tasses 3 sous-coupe 
8
20
2 paires
2
50
2
46
40
4
2
6
4"&amp;"
3
5
9
5
4
120"")"),"4")</f>
        <v>4</v>
      </c>
    </row>
    <row r="248">
      <c r="A248" s="44" t="s">
        <v>514</v>
      </c>
      <c r="B248" s="14" t="s">
        <v>515</v>
      </c>
      <c r="C248" s="14">
        <v>120.0</v>
      </c>
      <c r="D248" s="14" t="s">
        <v>147</v>
      </c>
      <c r="E248" s="14" t="s">
        <v>502</v>
      </c>
      <c r="F248" s="22" t="str">
        <f>IFERROR(__xludf.DUMMYFUNCTION("AI(""70
42
2
3
14
34
10
10
8
23
8
3
1
1
7
12
29
24
24
4
17
5
4
1
1
8
198
34
9
11
8
11
24
2
31
3
4
12
10
56
21
20
160
100
6
22
21
50
47
1
56
120
2
1
75
270
900g
50g
40
100g
15
1
11
144
10
2
9
44
8
34
32
5
4
15
8
19
40
15
20
35
13
25
25
14
5
18
10
6
4
1
3
1"&amp;"
5 RAM
5 RAM (+1 VRAC)
3 RAM
4 RAM
 1 RAM + 1 VRAC
1 VRAC
1 RAM + 1 VRAC
3 RAM
1 RAM
VRAC
220
3
3
3
3
2
2
3
3
40ml
1
60
40
3
1
2
54
58
5
17
16
200
240
4
9
13
1
180
720
200
16
2
23
140
267
3 RAM
4
4
9
4
2000
21
5
1
2
51
2
10
4 RAM
7
1
3
3
70
91
157
97
92
"&amp;"94
214
34
90
98
174
554
1 596
101
67
22
7
1247
216
20
50
194
146
397
3
1
2
1
1
1
2
1
825
163
12
8
156
101
60
156
40
8
33
19
10
7
8
1
2
5
50
100
50
400
217
50
150
127
4
31
1
1
1
2
3
12
103
3
1
1
3
2
3 tasses 3 sous-coupe 
8
20
2 paires
2
50
2
46
40
4
2
6
4"&amp;"
3
5
9
5
4
120"")"),"120")</f>
        <v>120</v>
      </c>
    </row>
  </sheetData>
  <mergeCells count="1">
    <mergeCell ref="A1:F1"/>
  </mergeCells>
  <drawing r:id="rId1"/>
  <tableParts count="1">
    <tablePart r:id="rId3"/>
  </tableParts>
</worksheet>
</file>